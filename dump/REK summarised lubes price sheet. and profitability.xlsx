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5" i="1"/>
</calcChain>
</file>

<file path=xl/sharedStrings.xml><?xml version="1.0" encoding="utf-8"?>
<sst xmlns="http://schemas.openxmlformats.org/spreadsheetml/2006/main" count="301" uniqueCount="296">
  <si>
    <t>Grade Name</t>
  </si>
  <si>
    <t>ADVANCE SX2</t>
  </si>
  <si>
    <t>ADVANCE 4T AX5 20W50</t>
  </si>
  <si>
    <t>ADVANCE 4T AX7 10W 40</t>
  </si>
  <si>
    <t>ADVANCE 4T Ultra 10W 40 SP</t>
  </si>
  <si>
    <t xml:space="preserve">AIR TOOL OIL S2 A 100 </t>
  </si>
  <si>
    <t>ALEXIA</t>
  </si>
  <si>
    <t xml:space="preserve">ARGINA S3 30 </t>
  </si>
  <si>
    <t xml:space="preserve">ARGINA S3 40 </t>
  </si>
  <si>
    <t xml:space="preserve">ARGINA S4 40 </t>
  </si>
  <si>
    <t>ARGINA S4 X 40</t>
  </si>
  <si>
    <t xml:space="preserve">ARGINA S5 40 </t>
  </si>
  <si>
    <t>BATTERY ACID</t>
  </si>
  <si>
    <t>BATTERY WATER</t>
  </si>
  <si>
    <t>CAPRINUS XR 40 209L</t>
  </si>
  <si>
    <t xml:space="preserve">CORENA S2 P 100 </t>
  </si>
  <si>
    <t xml:space="preserve">CORENA S3 R46 </t>
  </si>
  <si>
    <t xml:space="preserve">CORENA S3 R 68 </t>
  </si>
  <si>
    <t xml:space="preserve">CORENA S4 P 100 </t>
  </si>
  <si>
    <t xml:space="preserve">CORENA S4 R46 </t>
  </si>
  <si>
    <t xml:space="preserve">CORENA S4 R 68 </t>
  </si>
  <si>
    <t>Diala S4 ZX I 209L</t>
  </si>
  <si>
    <t>FLUSHING OIL D 22</t>
  </si>
  <si>
    <t>FRAGOL GREASE</t>
  </si>
  <si>
    <t>FRAGOL 3H WO</t>
  </si>
  <si>
    <t xml:space="preserve">SAP Material </t>
  </si>
  <si>
    <t>Code</t>
  </si>
  <si>
    <t>SAP Material Description</t>
  </si>
  <si>
    <t xml:space="preserve"> Wholesale Price </t>
  </si>
  <si>
    <t xml:space="preserve">(Ksh/Package) </t>
  </si>
  <si>
    <t>ADVANCE SX2 FB/EGB 24X0.5L</t>
  </si>
  <si>
    <t>ADVANCE SX2 FB/EGB 20L</t>
  </si>
  <si>
    <t>ADVANCE SX2 FB/EGB 209L</t>
  </si>
  <si>
    <t>ADVANCE 4T AX5 20W-50 12X1L</t>
  </si>
  <si>
    <t>ADVANCE 4T AX7 10W-40 12X1L</t>
  </si>
  <si>
    <t>AIR TOOL OIL S2 A100 20L</t>
  </si>
  <si>
    <t>AIR TOOL OIL S2 A100 209L</t>
  </si>
  <si>
    <t>ALEXIA 40</t>
  </si>
  <si>
    <t>ALEXIA 70</t>
  </si>
  <si>
    <t>ARGINA S3 30 209L</t>
  </si>
  <si>
    <t>ARGINA S3 40 209L</t>
  </si>
  <si>
    <t>ARGINA S4 40 209</t>
  </si>
  <si>
    <t>ARGINA S4 40 BULK</t>
  </si>
  <si>
    <t>ARGINA S4 X 40 209</t>
  </si>
  <si>
    <t>ARGINA S4 X 40 BULK</t>
  </si>
  <si>
    <t>ARGINA S5 40 209L</t>
  </si>
  <si>
    <t>ARGINA S5 40 BULK</t>
  </si>
  <si>
    <t>BATTERY ACID 12X1L</t>
  </si>
  <si>
    <t>BATTERY WATER 12X1L</t>
  </si>
  <si>
    <t>CORENA S2 P100 20L</t>
  </si>
  <si>
    <t>CORENA S3 R 46 20L</t>
  </si>
  <si>
    <t>CORENA S3 R 68 20L</t>
  </si>
  <si>
    <t>CORENA S4 P 100 20L</t>
  </si>
  <si>
    <t>CORENA S4 R 46 20L</t>
  </si>
  <si>
    <t>CORENA S4 R 68 20L</t>
  </si>
  <si>
    <t>DIALA S4 ZX-I 209L</t>
  </si>
  <si>
    <t>FLUSHING OIL D22 3X5L</t>
  </si>
  <si>
    <t>FLUSHING OIL D22 20L</t>
  </si>
  <si>
    <t>FLUSHING OIL D22 209L</t>
  </si>
  <si>
    <t>FRAGOL GREASE FG-AL 2 18KG</t>
  </si>
  <si>
    <t>FRAGOL 3H WO 68 20L</t>
  </si>
  <si>
    <t>FRAGOL GEAR WCE 320</t>
  </si>
  <si>
    <t>FRAGOL GEAR WCE 320 FG 20L</t>
  </si>
  <si>
    <t>FRAGOL GEAR WCE 220</t>
  </si>
  <si>
    <t>FRAGOL GEAR WCE 220 FG 20L</t>
  </si>
  <si>
    <t>GADINIA S3 40</t>
  </si>
  <si>
    <t>GADINIA S3 40 209L</t>
  </si>
  <si>
    <t xml:space="preserve">GADUS S2 V100 3 </t>
  </si>
  <si>
    <t>GADUS S2 V100 3 18 KG</t>
  </si>
  <si>
    <t>GADUS S2 V100 3 180KG</t>
  </si>
  <si>
    <t xml:space="preserve">GADUS S2 V220 00 </t>
  </si>
  <si>
    <t>GADUS S2 V220 00 18KG</t>
  </si>
  <si>
    <t xml:space="preserve">GADUS S2 V220 1 </t>
  </si>
  <si>
    <t>GADUS S2 V220 1 18KG</t>
  </si>
  <si>
    <t xml:space="preserve">GADUS S2 V220 2 </t>
  </si>
  <si>
    <t>GADUS S2 V220 2 12X0.4KG</t>
  </si>
  <si>
    <t>GADUS S2 V220 2 18KG</t>
  </si>
  <si>
    <t>GADUS S2 V220 2 180KG</t>
  </si>
  <si>
    <t xml:space="preserve">GADUS S2 V220AC 3 </t>
  </si>
  <si>
    <t>GADUS S2 V220AC 3 18KG</t>
  </si>
  <si>
    <t xml:space="preserve">GADUS S2 V220AD 2 </t>
  </si>
  <si>
    <t>GADUS S2 V220AD 2 18KG</t>
  </si>
  <si>
    <t xml:space="preserve">GADUS S3 V220C 2 </t>
  </si>
  <si>
    <t>GADUS S3 V220C 2 12X0.4KG</t>
  </si>
  <si>
    <t>GADUS S3 V220C 2 18KG</t>
  </si>
  <si>
    <t>GLYSANTING48 COOLANT</t>
  </si>
  <si>
    <t>GLYSANTIN G48 CONCENTRATE 210L</t>
  </si>
  <si>
    <t xml:space="preserve">HEAT TRANSFER OIL S2 </t>
  </si>
  <si>
    <t>HEAT TRANSFER OIL S2 S 209</t>
  </si>
  <si>
    <t>HEAT TRANSFER OIL S2 S BULK</t>
  </si>
  <si>
    <t>HELIX HX3 40</t>
  </si>
  <si>
    <t>HELIX HX3 40 SL CF 24X0.5L</t>
  </si>
  <si>
    <t>HELIX HX3 40 SL CF 12X1L</t>
  </si>
  <si>
    <t>HELIX HX3 40 SL CF 4X4L</t>
  </si>
  <si>
    <t>HELIX HX5 15W40</t>
  </si>
  <si>
    <t>HELIX HX5 15W-40 SL CF 24X0.5L</t>
  </si>
  <si>
    <t>HELIX HX5 15W-40 SL CF 12X1L</t>
  </si>
  <si>
    <t>HELIX HX5 15W-40 SL CF 4X4L</t>
  </si>
  <si>
    <t>HELIX HX5 15W-40 SL CF 3X5L</t>
  </si>
  <si>
    <t>HELIX HX5 15W-40 SL CF 20L</t>
  </si>
  <si>
    <t>HELIX HX5 15W-40 SL CF 209L</t>
  </si>
  <si>
    <t>HELIX HX5 20W50</t>
  </si>
  <si>
    <t>HELIX HX5 20W-50 SL CF 12X1L</t>
  </si>
  <si>
    <t>HELIX HX5 20W-50 SL CF 4X4L</t>
  </si>
  <si>
    <t>HELIX HX7 10W-40 SN PLUS</t>
  </si>
  <si>
    <t>HELIX HX7 10W-40 SN PLUS CF 12X1L</t>
  </si>
  <si>
    <t>HELIX HX7 10W-40 SN+ CF 4X4L</t>
  </si>
  <si>
    <t>HELIX HX8 5W-40 SN PLUS</t>
  </si>
  <si>
    <t>HELIX HX8 5W-40 SN+ CF 12X1L</t>
  </si>
  <si>
    <t>HELIX HX8 5W-40 SN+ CF 4X4L</t>
  </si>
  <si>
    <t>HELIX HX8 5W-40 SN PLUS 209L</t>
  </si>
  <si>
    <t>HELIX ULTRA 5W40 SN PLUS</t>
  </si>
  <si>
    <t>HELIX ULTRA 5W40 SN+ CF 12X1L</t>
  </si>
  <si>
    <t>HELIX ULTRA 5W-40 SN+ CF 4X4L</t>
  </si>
  <si>
    <t>HELIX ULTRA 5W-40 SN+ CF 209L</t>
  </si>
  <si>
    <t>HELIX ULTRA SP 0W 20</t>
  </si>
  <si>
    <t>HELIX ULTRA SP 0W-20 12X1L</t>
  </si>
  <si>
    <t>HELIX ULTRA SP 0W-20 3x5L</t>
  </si>
  <si>
    <t>HELIX ULTRA ECT 5W30</t>
  </si>
  <si>
    <t>HELIX ULTRA ECT C3 5W-30 12X1L</t>
  </si>
  <si>
    <t>HELIX ULTRA ECT C3 5W-30 3X5L</t>
  </si>
  <si>
    <t>HELIX ULTRA ECT C3 5W-30 209L</t>
  </si>
  <si>
    <t xml:space="preserve">HYDRAULIC S1  M 32 </t>
  </si>
  <si>
    <t>HYDRAULIC S1 M 32 3X5L</t>
  </si>
  <si>
    <t>HYDRAULIC S1 M 32 20L</t>
  </si>
  <si>
    <t>HYDRAULIC S1 M 32 209L</t>
  </si>
  <si>
    <t>HYDRAULIC S1  M 46</t>
  </si>
  <si>
    <t>HYDRAULIC S1 M 46 3X5L</t>
  </si>
  <si>
    <t>HYDRAULIC S1 M 46 20L</t>
  </si>
  <si>
    <t>HYDRAULIC S1 M 46 209L</t>
  </si>
  <si>
    <t>HYDRAULIC S1  M 68</t>
  </si>
  <si>
    <t>HYDRAULIC S1 M68 3X5L</t>
  </si>
  <si>
    <t>HYDRAULIC S1 M 68 20L</t>
  </si>
  <si>
    <t>HYDRAULIC S1 M 68 209L</t>
  </si>
  <si>
    <t>MELINA S 30</t>
  </si>
  <si>
    <t>MELINA S 30 209L</t>
  </si>
  <si>
    <t xml:space="preserve">MORLINA S1 B 100 </t>
  </si>
  <si>
    <t>MORLINA S1 B 100 209L</t>
  </si>
  <si>
    <t xml:space="preserve">MORLINA S1 B 150 </t>
  </si>
  <si>
    <t>MORLINA S1 B 150 209L</t>
  </si>
  <si>
    <t>MORLINA S1 B 320</t>
  </si>
  <si>
    <t>MORLINA S1 B 320 209L</t>
  </si>
  <si>
    <t xml:space="preserve">MORLINA S2 B 220 </t>
  </si>
  <si>
    <t>MORLINA S2 B 220 209L</t>
  </si>
  <si>
    <t xml:space="preserve">MORLINA S4 B 220 </t>
  </si>
  <si>
    <t>MORLINA S4 B 220 20L</t>
  </si>
  <si>
    <t>MYSELLA S3 N 40</t>
  </si>
  <si>
    <t>MYSELLA S3 N 40 209L</t>
  </si>
  <si>
    <t xml:space="preserve">Omala S2 GX 68 </t>
  </si>
  <si>
    <t>OMALA S2 GX 68 209L</t>
  </si>
  <si>
    <t xml:space="preserve">OMALA S2 GX 100 </t>
  </si>
  <si>
    <t>OMALA S2 GX 100 20L</t>
  </si>
  <si>
    <t>OMALA S2 GX 100 209L</t>
  </si>
  <si>
    <t>OMALA S2 GX 150</t>
  </si>
  <si>
    <t>OMALA S2 GX 150 20L</t>
  </si>
  <si>
    <t>OMALA S2 GX 150 209L</t>
  </si>
  <si>
    <t xml:space="preserve">OMALA S2 GX 220 </t>
  </si>
  <si>
    <t>OMALA S2 GX 220 20L</t>
  </si>
  <si>
    <t>OMALA S2 GX 220 209L</t>
  </si>
  <si>
    <t xml:space="preserve">OMALA S2 GX 320 </t>
  </si>
  <si>
    <t>OMALA S2 GX 320 20L</t>
  </si>
  <si>
    <t>OMALA S2 GX 320 209L</t>
  </si>
  <si>
    <t xml:space="preserve">OMALA S2 GX 460 </t>
  </si>
  <si>
    <t>OMALA S2 GX 460 20L</t>
  </si>
  <si>
    <t>OMALA S2 GX 460 209L</t>
  </si>
  <si>
    <t xml:space="preserve">OMALA S2 GX 680 </t>
  </si>
  <si>
    <t>OMALA S2 GX 680 209L</t>
  </si>
  <si>
    <t>OMALA S4 GXV 320</t>
  </si>
  <si>
    <t>OMALA S4 GXV 320 209L</t>
  </si>
  <si>
    <t>OMALA S4 GXV PLUS 320</t>
  </si>
  <si>
    <t>OMALA S4 GXV PLUS 320 209L</t>
  </si>
  <si>
    <t xml:space="preserve">OMALA S4 WE 320 </t>
  </si>
  <si>
    <t>OMALA S4 WE 320 209L</t>
  </si>
  <si>
    <t xml:space="preserve">ONDINA X 432 </t>
  </si>
  <si>
    <t>ONDINA X432 209L</t>
  </si>
  <si>
    <t xml:space="preserve">REFRIGERATION OIL S2 FR-A 68 </t>
  </si>
  <si>
    <t>REFRIGERATION OIL S2 FR-A 68 20L</t>
  </si>
  <si>
    <t>RIMULA R3 X 20W 50</t>
  </si>
  <si>
    <t>RIMULA R3X 20W-50 CH-4 12X1L</t>
  </si>
  <si>
    <t>RIMULA R3X 20W-50 CH-4 3X5L</t>
  </si>
  <si>
    <t>RIMULA R3X 20W-50 CH-4 20L</t>
  </si>
  <si>
    <t>RIMULA R3X 20W-50 CH-4 209L</t>
  </si>
  <si>
    <t>RIMULA R3 Turbo 15W40(CH-4)</t>
  </si>
  <si>
    <t>RIMULA R3 T 15W-40 CH4 12X1L</t>
  </si>
  <si>
    <t>RIMULA R3 T 15W-40 CH4 3X5L</t>
  </si>
  <si>
    <t>RIMULA R3 T 15W-40 CH4 20L</t>
  </si>
  <si>
    <t>RIMULA R3 T 15W-40 CH4 209L</t>
  </si>
  <si>
    <t>RIMULA R4X 15W40</t>
  </si>
  <si>
    <t>RIMULA R4 X 15W-40 CI4 12X1L</t>
  </si>
  <si>
    <t>RIMULA R4 X 15W-40 CI4 3X5L</t>
  </si>
  <si>
    <t>RIMULA R4 X 15W-40 CI4 20L</t>
  </si>
  <si>
    <t>RIMULA R4 X 15W-40 CI4 209L</t>
  </si>
  <si>
    <t>RIMULA R4 X 15W-40 CI4 BULK</t>
  </si>
  <si>
    <t xml:space="preserve">RIMULA R6 LM 10W/40  </t>
  </si>
  <si>
    <t>RIMULA R6 LM 10W-40 CJ4 3X5L</t>
  </si>
  <si>
    <t>RIMULA R6 LM 10W-40 CJ4 20L</t>
  </si>
  <si>
    <t>RIMULA R6 LM 10W-40 CJ4 209L</t>
  </si>
  <si>
    <t>SHELL BRAKE&amp;CLUTCH FLUID DOT 4</t>
  </si>
  <si>
    <t>SHELL BRAKE&amp;CLUTCH FLUID DOT 4 24X0.25L</t>
  </si>
  <si>
    <t>SHELL BRAKE&amp;CLUTCH FLUID DOT 4 24X0.5L</t>
  </si>
  <si>
    <t>SHELL BRAKE&amp;CLUTCH FLUID DOT 4 20L</t>
  </si>
  <si>
    <t xml:space="preserve">SHELL PREMIUM LONG-LIFE AF COOLANT </t>
  </si>
  <si>
    <t>SHELL PREMIUM LONG-LIFE AF COOLANT 6X1L</t>
  </si>
  <si>
    <t>SHELL PREMIUM LONG-LIFE AF COOLANT 3X5L</t>
  </si>
  <si>
    <t>SHELL PREMIUM LONG-LIFE AF COOLANT 20L</t>
  </si>
  <si>
    <t>SHELL PREMIUM LONG-LIFE AF COOLANT 205L</t>
  </si>
  <si>
    <t>SPIRAX S2 ATF D2</t>
  </si>
  <si>
    <t>SPIRAX S2 ATF D2 24X0.5L</t>
  </si>
  <si>
    <t>SPIRAX S2 ATF D2 12X1L</t>
  </si>
  <si>
    <t>SPIRAX S2 ATF D2 4X4L</t>
  </si>
  <si>
    <t>SPIRAX S2 ATF D2 20L</t>
  </si>
  <si>
    <t>SPIRAX S2 ATF D2 209L</t>
  </si>
  <si>
    <t xml:space="preserve">SPIRAX S2 A 80W-90 </t>
  </si>
  <si>
    <t>SPIRAX S2 A 80W-90 4X4L</t>
  </si>
  <si>
    <t>SPIRAX S2 A 80W-90 20L</t>
  </si>
  <si>
    <t>SPIRAX S2 A 80W-90 209L</t>
  </si>
  <si>
    <t xml:space="preserve">SPIRAX S2 A 85W-140 </t>
  </si>
  <si>
    <t>SPIRAX S2 A 85W-140 4X4L/MP</t>
  </si>
  <si>
    <t>SPIRAX S2 A 85W-140 20L</t>
  </si>
  <si>
    <t>SPIRAX S2 A 85W-140 209L</t>
  </si>
  <si>
    <t>SPIRAX S2 ALS 80W-90 (LSD Oil)</t>
  </si>
  <si>
    <t>SPIRAX S2 ALS 80W-90 12X1L</t>
  </si>
  <si>
    <t>SPIRAX S2 ALS 80W-90 3X5L</t>
  </si>
  <si>
    <t>SPIRAX S2 ALS 80W-90 20L</t>
  </si>
  <si>
    <t xml:space="preserve">SPIRAX S2 G 80W-90 </t>
  </si>
  <si>
    <t>SPIRAX S2 G 80W-90 20L</t>
  </si>
  <si>
    <t>SPIRAX S2 G 80W-90 209L</t>
  </si>
  <si>
    <t xml:space="preserve">SPIRAX S2 G 90 </t>
  </si>
  <si>
    <t>SPIRAX S2 G 90 24X0.5L</t>
  </si>
  <si>
    <t>SPIRAX S2 G 90 4X4L</t>
  </si>
  <si>
    <t>SPIRAX S2 G 90 20L</t>
  </si>
  <si>
    <t>SPIRAX S2 G90 209L</t>
  </si>
  <si>
    <t xml:space="preserve">SPIRAX S2 G 140 </t>
  </si>
  <si>
    <t>SPIRAX S2 G 140 24X0.5L</t>
  </si>
  <si>
    <t>SPIRAX S2 G 140 4X4L</t>
  </si>
  <si>
    <t>SPIRAX S2 G 140 20L</t>
  </si>
  <si>
    <t>SPIRAX S2 G 140 209L</t>
  </si>
  <si>
    <t xml:space="preserve">SPIRAX S3 T </t>
  </si>
  <si>
    <t>SPIRAX S3 T 20L</t>
  </si>
  <si>
    <t>SPIRAX S3 T 209L</t>
  </si>
  <si>
    <t>SPIRAX S4 CX 10</t>
  </si>
  <si>
    <t>SPIRAX S4 CX 10W 209L</t>
  </si>
  <si>
    <t xml:space="preserve">SPIRAX S4 CX 30 </t>
  </si>
  <si>
    <t>SPIRAX S4 CX 30 20L</t>
  </si>
  <si>
    <t>SPIRAX S4 CX 30 209L</t>
  </si>
  <si>
    <t xml:space="preserve">SPIRAX S4 CX 50 </t>
  </si>
  <si>
    <t>SPIRAX S4 CX 50 209L</t>
  </si>
  <si>
    <t xml:space="preserve">SPIRAX S4 TXM </t>
  </si>
  <si>
    <t>SPIRAX S4 TXM 20L</t>
  </si>
  <si>
    <t>SPIRAX S4 TXM 209L</t>
  </si>
  <si>
    <t>SPIRAX S5 ATF X</t>
  </si>
  <si>
    <t>SPIRAX S5 ATF X 12X1L</t>
  </si>
  <si>
    <t>SPIRAX S5 ATF X 20L</t>
  </si>
  <si>
    <t>SPIRAX S5 CVT X</t>
  </si>
  <si>
    <t>SPIRAX S5 CVT X 12X1L</t>
  </si>
  <si>
    <t>SPIRAX S6 AXME 75W-90</t>
  </si>
  <si>
    <t>SPIRAX S6 AXME 75W-90 20L</t>
  </si>
  <si>
    <t>SPIRAX S6 GXME 75W-80</t>
  </si>
  <si>
    <t xml:space="preserve">TELLUS S2 M 32 </t>
  </si>
  <si>
    <t>TELLUS S2 M 32 3X5L</t>
  </si>
  <si>
    <t>TELLUS S2 M 32 20L</t>
  </si>
  <si>
    <t>TELLUS S2 M 32 209L</t>
  </si>
  <si>
    <t xml:space="preserve">TELLUS S2 M 46 </t>
  </si>
  <si>
    <t>TELLUS S2 M 46 3X5L</t>
  </si>
  <si>
    <t>TELLUS S2 M 46 20L</t>
  </si>
  <si>
    <t>TELLUS S2 M 46 209L</t>
  </si>
  <si>
    <t xml:space="preserve">TELLUS S2 M 68 </t>
  </si>
  <si>
    <t>TELLUS S2 M 68 20L</t>
  </si>
  <si>
    <t>TELLUS S2 M 68 209L</t>
  </si>
  <si>
    <t xml:space="preserve">TELLUS S2 M 100 </t>
  </si>
  <si>
    <t>TELLUS S2 M 100 20L</t>
  </si>
  <si>
    <t>TELLUS S2 M 100 209L</t>
  </si>
  <si>
    <t>TELLUS S2 V 46</t>
  </si>
  <si>
    <t>TELLUS S2 V 46 20L</t>
  </si>
  <si>
    <t>TELLUS S2 V 46 209L</t>
  </si>
  <si>
    <t xml:space="preserve">TELLUS S2 V 68 </t>
  </si>
  <si>
    <t>TELLUS S2 V 68 209L</t>
  </si>
  <si>
    <t>TURBO J 32</t>
  </si>
  <si>
    <t>TURBO J 32 209L</t>
  </si>
  <si>
    <t>TURBO T 32</t>
  </si>
  <si>
    <t>TURBO T 32 209L</t>
  </si>
  <si>
    <t>TURBO T 46</t>
  </si>
  <si>
    <t>TURBO T 46 209L</t>
  </si>
  <si>
    <t>TURBO T 68</t>
  </si>
  <si>
    <t>TURBO T 68 209L</t>
  </si>
  <si>
    <t>APPROVED BY</t>
  </si>
  <si>
    <t>LUBRICANTS SALES MANAGER</t>
  </si>
  <si>
    <t xml:space="preserve">Pack size </t>
  </si>
  <si>
    <t xml:space="preserve">Recommended Retail Price </t>
  </si>
  <si>
    <t>(ksh/Piece)</t>
  </si>
  <si>
    <r>
      <t>ADVANCE 4T ULTRA 10W</t>
    </r>
    <r>
      <rPr>
        <sz val="6.5"/>
        <color rgb="FF000000"/>
        <rFont val="Cambria Math"/>
        <family val="1"/>
      </rPr>
      <t>‐</t>
    </r>
    <r>
      <rPr>
        <sz val="6.5"/>
        <color rgb="FF000000"/>
        <rFont val="Gill Sans MT"/>
        <family val="2"/>
      </rPr>
      <t>40 SP 12X1L</t>
    </r>
  </si>
  <si>
    <t>Pieces per packaging unit</t>
  </si>
  <si>
    <t>litres per packaging unit</t>
  </si>
  <si>
    <t>PROFIT PER UNIT/  CARTON</t>
  </si>
  <si>
    <t>RETAIL sales amount for a full unit/carton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</si>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</sst>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  <scheme val="minor"/>
    </font>
    <font>
      <b/>
      <sz val="7"/>
      <color rgb="FFFF0000"/>
      <name val="Arial"/>
      <family val="2"/>
    </font>
    <font>
      <b/>
      <sz val="8"/>
      <color rgb="FFFF0000"/>
      <name val="Gill Sans MT"/>
      <family val="2"/>
    </font>
    <font>
      <b/>
      <sz val="8"/>
      <color rgb="FF000000"/>
      <name val="Gill Sans MT"/>
      <family val="2"/>
    </font>
    <font>
      <sz val="8"/>
      <color rgb="FF000000"/>
      <name val="Gill Sans MT"/>
      <family val="2"/>
    </font>
    <font>
      <b/>
      <sz val="6.5"/>
      <color rgb="FFFF0000"/>
      <name val="Gill Sans MT"/>
      <family val="2"/>
    </font>
    <font>
      <sz val="6.5"/>
      <color rgb="FF000000"/>
      <name val="Gill Sans MT"/>
      <family val="2"/>
    </font>
    <font>
      <sz val="6.5"/>
      <color rgb="FF000000"/>
      <name val="Cambria Math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4" fontId="4" fillId="0" borderId="6" xfId="0" applyNumberFormat="1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4" fontId="4" fillId="0" borderId="10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4" fontId="4" fillId="0" borderId="13" xfId="0" applyNumberFormat="1" applyFont="1" applyBorder="1" applyAlignment="1">
      <alignment horizontal="right" vertical="center" wrapText="1"/>
    </xf>
    <xf numFmtId="0" fontId="5" fillId="0" borderId="5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 wrapText="1"/>
    </xf>
    <xf numFmtId="3" fontId="6" fillId="0" borderId="6" xfId="0" applyNumberFormat="1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right" vertical="center" wrapText="1"/>
    </xf>
    <xf numFmtId="3" fontId="6" fillId="0" borderId="10" xfId="0" applyNumberFormat="1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2" xfId="0" applyFont="1" applyBorder="1" applyAlignment="1">
      <alignment horizontal="right" vertical="center" wrapText="1"/>
    </xf>
    <xf numFmtId="3" fontId="6" fillId="0" borderId="13" xfId="0" applyNumberFormat="1" applyFont="1" applyBorder="1" applyAlignment="1">
      <alignment vertical="center" wrapText="1"/>
    </xf>
    <xf numFmtId="0" fontId="5" fillId="0" borderId="7" xfId="0" applyFont="1" applyBorder="1" applyAlignment="1">
      <alignment horizontal="justify" vertical="center" wrapText="1"/>
    </xf>
    <xf numFmtId="0" fontId="5" fillId="0" borderId="14" xfId="0" applyFont="1" applyBorder="1" applyAlignment="1">
      <alignment horizontal="justify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93"/>
  <sheetViews>
    <sheetView tabSelected="1" topLeftCell="A43" zoomScale="108" workbookViewId="0">
      <selection activeCell="I209" sqref="I209"/>
    </sheetView>
  </sheetViews>
  <sheetFormatPr defaultRowHeight="14.4" x14ac:dyDescent="0.3"/>
  <cols>
    <col min="1" max="1" width="26" customWidth="1"/>
    <col min="3" max="3" width="26.109375" customWidth="1"/>
    <col min="10" max="10" width="15.88671875" customWidth="1"/>
  </cols>
  <sheetData>
    <row r="2" spans="1:10" ht="15" thickBot="1" x14ac:dyDescent="0.35"/>
    <row r="3" spans="1:10" ht="24.6" customHeight="1" thickTop="1" x14ac:dyDescent="0.3">
      <c r="A3" s="32" t="s">
        <v>0</v>
      </c>
      <c r="B3" s="3" t="s">
        <v>25</v>
      </c>
      <c r="C3" s="34" t="s">
        <v>27</v>
      </c>
      <c r="D3" s="30" t="s">
        <v>287</v>
      </c>
      <c r="E3" s="30" t="s">
        <v>291</v>
      </c>
      <c r="F3" s="30" t="s">
        <v>292</v>
      </c>
      <c r="G3" s="5" t="s">
        <v>28</v>
      </c>
      <c r="H3" s="18" t="s">
        <v>288</v>
      </c>
      <c r="I3" s="30" t="s">
        <v>294</v>
      </c>
      <c r="J3" s="30" t="s">
        <v>293</v>
      </c>
    </row>
    <row r="4" spans="1:10" ht="24.6" thickBot="1" x14ac:dyDescent="0.35">
      <c r="A4" s="33"/>
      <c r="B4" s="4" t="s">
        <v>26</v>
      </c>
      <c r="C4" s="35"/>
      <c r="D4" s="31"/>
      <c r="E4" s="31"/>
      <c r="F4" s="31"/>
      <c r="G4" s="6" t="s">
        <v>29</v>
      </c>
      <c r="H4" s="19" t="s">
        <v>289</v>
      </c>
      <c r="I4" s="31"/>
      <c r="J4" s="31"/>
    </row>
    <row r="5" spans="1:10" ht="15" thickBot="1" x14ac:dyDescent="0.35">
      <c r="A5" s="1" t="s">
        <v>1</v>
      </c>
      <c r="B5" s="7">
        <v>23352</v>
      </c>
      <c r="C5" s="20" t="s">
        <v>30</v>
      </c>
      <c r="D5" s="21">
        <v>0.5</v>
      </c>
      <c r="E5">
        <v>24</v>
      </c>
      <c r="F5">
        <f>SUM(E5*D5)</f>
        <v>12</v>
      </c>
      <c r="G5" s="8">
        <v>4977.8999999999996</v>
      </c>
      <c r="H5" s="22">
        <v>265</v>
      </c>
      <c r="I5">
        <f>SUM(H5*E5)</f>
        <v>6360</v>
      </c>
      <c r="J5" s="36">
        <f>SUM(I5-G5)</f>
        <v>1382.1000000000004</v>
      </c>
    </row>
    <row r="6" spans="1:10" ht="15" thickBot="1" x14ac:dyDescent="0.35">
      <c r="A6" s="2"/>
      <c r="B6" s="7">
        <v>12843</v>
      </c>
      <c r="C6" s="20" t="s">
        <v>31</v>
      </c>
      <c r="D6" s="21">
        <v>20</v>
      </c>
      <c r="E6">
        <v>1</v>
      </c>
      <c r="F6">
        <f t="shared" ref="F6:F69" si="0">SUM(E6*D6)</f>
        <v>20</v>
      </c>
      <c r="G6" s="8">
        <v>7925.2</v>
      </c>
      <c r="H6" s="23">
        <v>10115</v>
      </c>
      <c r="I6">
        <f t="shared" ref="I6:I69" si="1">SUM(H6*E6)</f>
        <v>10115</v>
      </c>
      <c r="J6" s="36">
        <f t="shared" ref="J6:J69" si="2">SUM(I6-G6)</f>
        <v>2189.8000000000002</v>
      </c>
    </row>
    <row r="7" spans="1:10" ht="15" thickBot="1" x14ac:dyDescent="0.35">
      <c r="A7" s="2"/>
      <c r="B7" s="7">
        <v>12844</v>
      </c>
      <c r="C7" s="20" t="s">
        <v>32</v>
      </c>
      <c r="D7" s="21">
        <v>209</v>
      </c>
      <c r="E7">
        <v>1</v>
      </c>
      <c r="F7">
        <f t="shared" si="0"/>
        <v>209</v>
      </c>
      <c r="G7" s="8">
        <v>78249.2</v>
      </c>
      <c r="H7" s="23">
        <v>99845</v>
      </c>
      <c r="I7">
        <f t="shared" si="1"/>
        <v>99845</v>
      </c>
      <c r="J7" s="36">
        <f t="shared" si="2"/>
        <v>21595.800000000003</v>
      </c>
    </row>
    <row r="8" spans="1:10" ht="15" thickBot="1" x14ac:dyDescent="0.35">
      <c r="A8" s="1" t="s">
        <v>2</v>
      </c>
      <c r="B8" s="7">
        <v>23353</v>
      </c>
      <c r="C8" s="20" t="s">
        <v>33</v>
      </c>
      <c r="D8" s="21">
        <v>1</v>
      </c>
      <c r="E8">
        <v>12</v>
      </c>
      <c r="F8">
        <f t="shared" si="0"/>
        <v>12</v>
      </c>
      <c r="G8" s="8">
        <v>4676.3999999999996</v>
      </c>
      <c r="H8" s="22">
        <v>500</v>
      </c>
      <c r="I8">
        <f t="shared" si="1"/>
        <v>6000</v>
      </c>
      <c r="J8" s="36">
        <f t="shared" si="2"/>
        <v>1323.6000000000004</v>
      </c>
    </row>
    <row r="9" spans="1:10" ht="19.2" customHeight="1" thickBot="1" x14ac:dyDescent="0.35">
      <c r="A9" s="1" t="s">
        <v>3</v>
      </c>
      <c r="B9" s="7">
        <v>106422</v>
      </c>
      <c r="C9" s="20" t="s">
        <v>34</v>
      </c>
      <c r="D9" s="21">
        <v>1</v>
      </c>
      <c r="E9">
        <v>12</v>
      </c>
      <c r="F9">
        <f t="shared" si="0"/>
        <v>12</v>
      </c>
      <c r="G9" s="8">
        <v>5640</v>
      </c>
      <c r="H9" s="22">
        <v>600</v>
      </c>
      <c r="I9">
        <f t="shared" si="1"/>
        <v>7200</v>
      </c>
      <c r="J9" s="36">
        <f t="shared" si="2"/>
        <v>1560</v>
      </c>
    </row>
    <row r="10" spans="1:10" ht="22.8" customHeight="1" thickBot="1" x14ac:dyDescent="0.35">
      <c r="A10" s="1" t="s">
        <v>4</v>
      </c>
      <c r="B10" s="7">
        <v>205874</v>
      </c>
      <c r="C10" s="20" t="s">
        <v>290</v>
      </c>
      <c r="D10" s="21">
        <v>1</v>
      </c>
      <c r="E10">
        <v>12</v>
      </c>
      <c r="F10">
        <f t="shared" si="0"/>
        <v>12</v>
      </c>
      <c r="G10" s="8">
        <v>11723.9</v>
      </c>
      <c r="H10" s="23">
        <v>1245</v>
      </c>
      <c r="I10">
        <f t="shared" si="1"/>
        <v>14940</v>
      </c>
      <c r="J10" s="36">
        <f t="shared" si="2"/>
        <v>3216.1000000000004</v>
      </c>
    </row>
    <row r="11" spans="1:10" ht="15" thickBot="1" x14ac:dyDescent="0.35">
      <c r="A11" s="1" t="s">
        <v>5</v>
      </c>
      <c r="B11" s="7">
        <v>12713</v>
      </c>
      <c r="C11" s="20" t="s">
        <v>35</v>
      </c>
      <c r="D11" s="21">
        <v>20</v>
      </c>
      <c r="E11">
        <v>1</v>
      </c>
      <c r="F11">
        <f t="shared" si="0"/>
        <v>20</v>
      </c>
      <c r="G11" s="8">
        <v>9416.2999999999993</v>
      </c>
      <c r="H11" s="23">
        <v>12015</v>
      </c>
      <c r="I11">
        <f t="shared" si="1"/>
        <v>12015</v>
      </c>
      <c r="J11" s="36">
        <f t="shared" si="2"/>
        <v>2598.7000000000007</v>
      </c>
    </row>
    <row r="12" spans="1:10" ht="15" thickBot="1" x14ac:dyDescent="0.35">
      <c r="A12" s="2"/>
      <c r="B12" s="7">
        <v>12728</v>
      </c>
      <c r="C12" s="20" t="s">
        <v>36</v>
      </c>
      <c r="D12" s="21">
        <v>209</v>
      </c>
      <c r="E12">
        <v>1</v>
      </c>
      <c r="F12">
        <f t="shared" si="0"/>
        <v>209</v>
      </c>
      <c r="G12" s="8">
        <v>95587.1</v>
      </c>
      <c r="H12" s="23">
        <v>121970</v>
      </c>
      <c r="I12">
        <f t="shared" si="1"/>
        <v>121970</v>
      </c>
      <c r="J12" s="36">
        <f t="shared" si="2"/>
        <v>26382.899999999994</v>
      </c>
    </row>
    <row r="13" spans="1:10" ht="15" thickBot="1" x14ac:dyDescent="0.35">
      <c r="A13" s="1" t="s">
        <v>6</v>
      </c>
      <c r="B13" s="7">
        <v>99684</v>
      </c>
      <c r="C13" s="20" t="s">
        <v>37</v>
      </c>
      <c r="D13" s="21">
        <v>209</v>
      </c>
      <c r="E13">
        <v>1</v>
      </c>
      <c r="F13">
        <f t="shared" si="0"/>
        <v>209</v>
      </c>
      <c r="G13" s="8">
        <v>158896.79999999999</v>
      </c>
      <c r="H13" s="23">
        <v>202750</v>
      </c>
      <c r="I13">
        <f t="shared" si="1"/>
        <v>202750</v>
      </c>
      <c r="J13" s="36">
        <f t="shared" si="2"/>
        <v>43853.200000000012</v>
      </c>
    </row>
    <row r="14" spans="1:10" ht="15" thickBot="1" x14ac:dyDescent="0.35">
      <c r="A14" s="2"/>
      <c r="B14" s="7">
        <v>99683</v>
      </c>
      <c r="C14" s="20" t="s">
        <v>38</v>
      </c>
      <c r="D14" s="21">
        <v>209</v>
      </c>
      <c r="E14">
        <v>1</v>
      </c>
      <c r="F14">
        <f t="shared" si="0"/>
        <v>209</v>
      </c>
      <c r="G14" s="8">
        <v>173350.7</v>
      </c>
      <c r="H14" s="23">
        <v>221195</v>
      </c>
      <c r="I14">
        <f t="shared" si="1"/>
        <v>221195</v>
      </c>
      <c r="J14" s="36">
        <f t="shared" si="2"/>
        <v>47844.299999999988</v>
      </c>
    </row>
    <row r="15" spans="1:10" ht="15" thickBot="1" x14ac:dyDescent="0.35">
      <c r="A15" s="1" t="s">
        <v>7</v>
      </c>
      <c r="B15" s="7">
        <v>12884</v>
      </c>
      <c r="C15" s="20" t="s">
        <v>39</v>
      </c>
      <c r="D15" s="21">
        <v>209</v>
      </c>
      <c r="E15">
        <v>1</v>
      </c>
      <c r="F15">
        <f t="shared" si="0"/>
        <v>209</v>
      </c>
      <c r="G15" s="8">
        <v>98682.2</v>
      </c>
      <c r="H15" s="23">
        <v>125920</v>
      </c>
      <c r="I15">
        <f t="shared" si="1"/>
        <v>125920</v>
      </c>
      <c r="J15" s="36">
        <f t="shared" si="2"/>
        <v>27237.800000000003</v>
      </c>
    </row>
    <row r="16" spans="1:10" ht="15" thickBot="1" x14ac:dyDescent="0.35">
      <c r="A16" s="1" t="s">
        <v>8</v>
      </c>
      <c r="B16" s="7">
        <v>12885</v>
      </c>
      <c r="C16" s="20" t="s">
        <v>40</v>
      </c>
      <c r="D16" s="21">
        <v>209</v>
      </c>
      <c r="E16">
        <v>1</v>
      </c>
      <c r="F16">
        <f t="shared" si="0"/>
        <v>209</v>
      </c>
      <c r="G16" s="8">
        <v>100252.4</v>
      </c>
      <c r="H16" s="23">
        <v>127920</v>
      </c>
      <c r="I16">
        <f t="shared" si="1"/>
        <v>127920</v>
      </c>
      <c r="J16" s="36">
        <f t="shared" si="2"/>
        <v>27667.600000000006</v>
      </c>
    </row>
    <row r="17" spans="1:10" ht="15" thickBot="1" x14ac:dyDescent="0.35">
      <c r="A17" s="1" t="s">
        <v>9</v>
      </c>
      <c r="B17" s="7">
        <v>23384</v>
      </c>
      <c r="C17" s="20" t="s">
        <v>41</v>
      </c>
      <c r="D17" s="21">
        <v>209</v>
      </c>
      <c r="E17">
        <v>1</v>
      </c>
      <c r="F17">
        <f t="shared" si="0"/>
        <v>209</v>
      </c>
      <c r="G17" s="8">
        <v>101832.6</v>
      </c>
      <c r="H17" s="23">
        <v>129940</v>
      </c>
      <c r="I17">
        <f t="shared" si="1"/>
        <v>129940</v>
      </c>
      <c r="J17" s="36">
        <f t="shared" si="2"/>
        <v>28107.399999999994</v>
      </c>
    </row>
    <row r="18" spans="1:10" ht="15" thickBot="1" x14ac:dyDescent="0.35">
      <c r="A18" s="2"/>
      <c r="B18" s="7">
        <v>12882</v>
      </c>
      <c r="C18" s="20" t="s">
        <v>42</v>
      </c>
      <c r="D18" s="21">
        <v>1</v>
      </c>
      <c r="E18">
        <v>1</v>
      </c>
      <c r="F18">
        <f t="shared" si="0"/>
        <v>1</v>
      </c>
      <c r="G18" s="9">
        <v>479.1</v>
      </c>
      <c r="H18" s="22">
        <v>610</v>
      </c>
      <c r="I18">
        <f t="shared" si="1"/>
        <v>610</v>
      </c>
      <c r="J18" s="36">
        <f t="shared" si="2"/>
        <v>130.89999999999998</v>
      </c>
    </row>
    <row r="19" spans="1:10" ht="15" thickBot="1" x14ac:dyDescent="0.35">
      <c r="A19" s="1" t="s">
        <v>10</v>
      </c>
      <c r="B19" s="7">
        <v>102875</v>
      </c>
      <c r="C19" s="20" t="s">
        <v>43</v>
      </c>
      <c r="D19" s="21">
        <v>209</v>
      </c>
      <c r="E19">
        <v>1</v>
      </c>
      <c r="F19">
        <f t="shared" si="0"/>
        <v>209</v>
      </c>
      <c r="G19" s="8">
        <v>100196.1</v>
      </c>
      <c r="H19" s="23">
        <v>127850</v>
      </c>
      <c r="I19">
        <f t="shared" si="1"/>
        <v>127850</v>
      </c>
      <c r="J19" s="36">
        <f t="shared" si="2"/>
        <v>27653.899999999994</v>
      </c>
    </row>
    <row r="20" spans="1:10" ht="15" thickBot="1" x14ac:dyDescent="0.35">
      <c r="A20" s="2"/>
      <c r="B20" s="7">
        <v>107571</v>
      </c>
      <c r="C20" s="20" t="s">
        <v>44</v>
      </c>
      <c r="D20" s="21">
        <v>1</v>
      </c>
      <c r="E20">
        <v>1</v>
      </c>
      <c r="F20">
        <f t="shared" si="0"/>
        <v>1</v>
      </c>
      <c r="G20" s="9">
        <v>501</v>
      </c>
      <c r="H20" s="22">
        <v>640</v>
      </c>
      <c r="I20">
        <f t="shared" si="1"/>
        <v>640</v>
      </c>
      <c r="J20" s="36">
        <f t="shared" si="2"/>
        <v>139</v>
      </c>
    </row>
    <row r="21" spans="1:10" ht="15" thickBot="1" x14ac:dyDescent="0.35">
      <c r="A21" s="1" t="s">
        <v>11</v>
      </c>
      <c r="B21" s="7">
        <v>23385</v>
      </c>
      <c r="C21" s="20" t="s">
        <v>45</v>
      </c>
      <c r="D21" s="21">
        <v>209</v>
      </c>
      <c r="E21">
        <v>1</v>
      </c>
      <c r="F21">
        <f t="shared" si="0"/>
        <v>209</v>
      </c>
      <c r="G21" s="8">
        <v>101868.1</v>
      </c>
      <c r="H21" s="23">
        <v>129985</v>
      </c>
      <c r="I21">
        <f t="shared" si="1"/>
        <v>129985</v>
      </c>
      <c r="J21" s="36">
        <f t="shared" si="2"/>
        <v>28116.899999999994</v>
      </c>
    </row>
    <row r="22" spans="1:10" ht="15" thickBot="1" x14ac:dyDescent="0.35">
      <c r="A22" s="2"/>
      <c r="B22" s="7">
        <v>12883</v>
      </c>
      <c r="C22" s="20" t="s">
        <v>46</v>
      </c>
      <c r="D22" s="21">
        <v>1</v>
      </c>
      <c r="E22">
        <v>1</v>
      </c>
      <c r="F22">
        <f t="shared" si="0"/>
        <v>1</v>
      </c>
      <c r="G22" s="9">
        <v>479.2</v>
      </c>
      <c r="H22" s="22">
        <v>610</v>
      </c>
      <c r="I22">
        <f t="shared" si="1"/>
        <v>610</v>
      </c>
      <c r="J22" s="36">
        <f t="shared" si="2"/>
        <v>130.80000000000001</v>
      </c>
    </row>
    <row r="23" spans="1:10" ht="15" thickBot="1" x14ac:dyDescent="0.35">
      <c r="A23" s="1" t="s">
        <v>12</v>
      </c>
      <c r="B23" s="7">
        <v>12656</v>
      </c>
      <c r="C23" s="20" t="s">
        <v>47</v>
      </c>
      <c r="D23" s="21">
        <v>1</v>
      </c>
      <c r="E23">
        <v>12</v>
      </c>
      <c r="F23">
        <f t="shared" si="0"/>
        <v>12</v>
      </c>
      <c r="G23" s="8">
        <v>2135.6999999999998</v>
      </c>
      <c r="H23" s="22">
        <v>225</v>
      </c>
      <c r="I23">
        <f t="shared" si="1"/>
        <v>2700</v>
      </c>
      <c r="J23" s="36">
        <f t="shared" si="2"/>
        <v>564.30000000000018</v>
      </c>
    </row>
    <row r="24" spans="1:10" ht="15" thickBot="1" x14ac:dyDescent="0.35">
      <c r="A24" s="1" t="s">
        <v>13</v>
      </c>
      <c r="B24" s="7">
        <v>12654</v>
      </c>
      <c r="C24" s="20" t="s">
        <v>48</v>
      </c>
      <c r="D24" s="21">
        <v>1</v>
      </c>
      <c r="E24">
        <v>12</v>
      </c>
      <c r="F24">
        <f t="shared" si="0"/>
        <v>12</v>
      </c>
      <c r="G24" s="8">
        <v>1720.7</v>
      </c>
      <c r="H24" s="22">
        <v>185</v>
      </c>
      <c r="I24">
        <f t="shared" si="1"/>
        <v>2220</v>
      </c>
      <c r="J24" s="36">
        <f t="shared" si="2"/>
        <v>499.29999999999995</v>
      </c>
    </row>
    <row r="25" spans="1:10" ht="15" thickBot="1" x14ac:dyDescent="0.35">
      <c r="A25" s="1" t="s">
        <v>14</v>
      </c>
      <c r="B25" s="7">
        <v>12816</v>
      </c>
      <c r="C25" s="20" t="s">
        <v>14</v>
      </c>
      <c r="D25" s="21">
        <v>209</v>
      </c>
      <c r="E25">
        <v>1</v>
      </c>
      <c r="F25">
        <f t="shared" si="0"/>
        <v>209</v>
      </c>
      <c r="G25" s="8">
        <v>95492.2</v>
      </c>
      <c r="H25" s="23">
        <v>121850</v>
      </c>
      <c r="I25">
        <f t="shared" si="1"/>
        <v>121850</v>
      </c>
      <c r="J25" s="36">
        <f t="shared" si="2"/>
        <v>26357.800000000003</v>
      </c>
    </row>
    <row r="26" spans="1:10" ht="15" thickBot="1" x14ac:dyDescent="0.35">
      <c r="A26" s="1" t="s">
        <v>15</v>
      </c>
      <c r="B26" s="7">
        <v>12767</v>
      </c>
      <c r="C26" s="20" t="s">
        <v>49</v>
      </c>
      <c r="D26" s="21">
        <v>20</v>
      </c>
      <c r="E26">
        <v>1</v>
      </c>
      <c r="F26">
        <f t="shared" si="0"/>
        <v>20</v>
      </c>
      <c r="G26" s="8">
        <v>22548.799999999999</v>
      </c>
      <c r="H26" s="23">
        <v>28770</v>
      </c>
      <c r="I26">
        <f t="shared" si="1"/>
        <v>28770</v>
      </c>
      <c r="J26" s="36">
        <f t="shared" si="2"/>
        <v>6221.2000000000007</v>
      </c>
    </row>
    <row r="27" spans="1:10" ht="15" thickBot="1" x14ac:dyDescent="0.35">
      <c r="A27" s="1" t="s">
        <v>16</v>
      </c>
      <c r="B27" s="7">
        <v>12745</v>
      </c>
      <c r="C27" s="20" t="s">
        <v>50</v>
      </c>
      <c r="D27" s="21">
        <v>20</v>
      </c>
      <c r="E27">
        <v>1</v>
      </c>
      <c r="F27">
        <f t="shared" si="0"/>
        <v>20</v>
      </c>
      <c r="G27" s="8">
        <v>30875.9</v>
      </c>
      <c r="H27" s="23">
        <v>39400</v>
      </c>
      <c r="I27">
        <f t="shared" si="1"/>
        <v>39400</v>
      </c>
      <c r="J27" s="36">
        <f t="shared" si="2"/>
        <v>8524.0999999999985</v>
      </c>
    </row>
    <row r="28" spans="1:10" ht="15" thickBot="1" x14ac:dyDescent="0.35">
      <c r="A28" s="1" t="s">
        <v>17</v>
      </c>
      <c r="B28" s="7">
        <v>23290</v>
      </c>
      <c r="C28" s="20" t="s">
        <v>51</v>
      </c>
      <c r="D28" s="21">
        <v>20</v>
      </c>
      <c r="E28">
        <v>1</v>
      </c>
      <c r="F28">
        <f t="shared" si="0"/>
        <v>20</v>
      </c>
      <c r="G28" s="8">
        <v>25709.599999999999</v>
      </c>
      <c r="H28" s="23">
        <v>32805</v>
      </c>
      <c r="I28">
        <f t="shared" si="1"/>
        <v>32805</v>
      </c>
      <c r="J28" s="36">
        <f t="shared" si="2"/>
        <v>7095.4000000000015</v>
      </c>
    </row>
    <row r="29" spans="1:10" ht="15" thickBot="1" x14ac:dyDescent="0.35">
      <c r="A29" s="1" t="s">
        <v>18</v>
      </c>
      <c r="B29" s="7">
        <v>12747</v>
      </c>
      <c r="C29" s="20" t="s">
        <v>52</v>
      </c>
      <c r="D29" s="21">
        <v>20</v>
      </c>
      <c r="E29">
        <v>1</v>
      </c>
      <c r="F29">
        <f t="shared" si="0"/>
        <v>20</v>
      </c>
      <c r="G29" s="8">
        <v>48186.2</v>
      </c>
      <c r="H29" s="23">
        <v>61485</v>
      </c>
      <c r="I29">
        <f t="shared" si="1"/>
        <v>61485</v>
      </c>
      <c r="J29" s="36">
        <f t="shared" si="2"/>
        <v>13298.800000000003</v>
      </c>
    </row>
    <row r="30" spans="1:10" ht="15" thickBot="1" x14ac:dyDescent="0.35">
      <c r="A30" s="1" t="s">
        <v>19</v>
      </c>
      <c r="B30" s="7">
        <v>23335</v>
      </c>
      <c r="C30" s="20" t="s">
        <v>53</v>
      </c>
      <c r="D30" s="21">
        <v>20</v>
      </c>
      <c r="E30">
        <v>1</v>
      </c>
      <c r="F30">
        <f t="shared" si="0"/>
        <v>20</v>
      </c>
      <c r="G30" s="8">
        <v>33967.699999999997</v>
      </c>
      <c r="H30" s="23">
        <v>43345</v>
      </c>
      <c r="I30">
        <f t="shared" si="1"/>
        <v>43345</v>
      </c>
      <c r="J30" s="36">
        <f t="shared" si="2"/>
        <v>9377.3000000000029</v>
      </c>
    </row>
    <row r="31" spans="1:10" ht="15" thickBot="1" x14ac:dyDescent="0.35">
      <c r="A31" s="1" t="s">
        <v>20</v>
      </c>
      <c r="B31" s="7">
        <v>12674</v>
      </c>
      <c r="C31" s="20" t="s">
        <v>54</v>
      </c>
      <c r="D31" s="21">
        <v>20</v>
      </c>
      <c r="E31">
        <v>1</v>
      </c>
      <c r="F31">
        <f t="shared" si="0"/>
        <v>20</v>
      </c>
      <c r="G31" s="8">
        <v>35770.1</v>
      </c>
      <c r="H31" s="23">
        <v>45645</v>
      </c>
      <c r="I31">
        <f t="shared" si="1"/>
        <v>45645</v>
      </c>
      <c r="J31" s="36">
        <f t="shared" si="2"/>
        <v>9874.9000000000015</v>
      </c>
    </row>
    <row r="32" spans="1:10" ht="15" thickBot="1" x14ac:dyDescent="0.35">
      <c r="A32" s="1" t="s">
        <v>21</v>
      </c>
      <c r="B32" s="7">
        <v>23357</v>
      </c>
      <c r="C32" s="20" t="s">
        <v>55</v>
      </c>
      <c r="D32" s="21">
        <v>209</v>
      </c>
      <c r="E32">
        <v>1</v>
      </c>
      <c r="F32">
        <f t="shared" si="0"/>
        <v>209</v>
      </c>
      <c r="G32" s="8">
        <v>170720.3</v>
      </c>
      <c r="H32" s="23">
        <v>217840</v>
      </c>
      <c r="I32">
        <f t="shared" si="1"/>
        <v>217840</v>
      </c>
      <c r="J32" s="36">
        <f t="shared" si="2"/>
        <v>47119.700000000012</v>
      </c>
    </row>
    <row r="33" spans="1:10" ht="15" thickBot="1" x14ac:dyDescent="0.35">
      <c r="A33" s="1" t="s">
        <v>22</v>
      </c>
      <c r="B33" s="7">
        <v>12764</v>
      </c>
      <c r="C33" s="20" t="s">
        <v>56</v>
      </c>
      <c r="D33" s="21">
        <v>5</v>
      </c>
      <c r="E33">
        <v>3</v>
      </c>
      <c r="F33">
        <f t="shared" si="0"/>
        <v>15</v>
      </c>
      <c r="G33" s="8">
        <v>6621.3</v>
      </c>
      <c r="H33" s="23">
        <v>2815</v>
      </c>
      <c r="I33">
        <f t="shared" si="1"/>
        <v>8445</v>
      </c>
      <c r="J33" s="36">
        <f t="shared" si="2"/>
        <v>1823.6999999999998</v>
      </c>
    </row>
    <row r="34" spans="1:10" ht="15" thickBot="1" x14ac:dyDescent="0.35">
      <c r="A34" s="2"/>
      <c r="B34" s="7">
        <v>12660</v>
      </c>
      <c r="C34" s="20" t="s">
        <v>57</v>
      </c>
      <c r="D34" s="21">
        <v>20</v>
      </c>
      <c r="E34">
        <v>1</v>
      </c>
      <c r="F34">
        <f t="shared" si="0"/>
        <v>20</v>
      </c>
      <c r="G34" s="8">
        <v>8637.2999999999993</v>
      </c>
      <c r="H34" s="23">
        <v>11020</v>
      </c>
      <c r="I34">
        <f t="shared" si="1"/>
        <v>11020</v>
      </c>
      <c r="J34" s="36">
        <f t="shared" si="2"/>
        <v>2382.7000000000007</v>
      </c>
    </row>
    <row r="35" spans="1:10" ht="15" thickBot="1" x14ac:dyDescent="0.35">
      <c r="A35" s="2"/>
      <c r="B35" s="7">
        <v>12658</v>
      </c>
      <c r="C35" s="20" t="s">
        <v>58</v>
      </c>
      <c r="D35" s="21">
        <v>209</v>
      </c>
      <c r="E35">
        <v>1</v>
      </c>
      <c r="F35">
        <f t="shared" si="0"/>
        <v>209</v>
      </c>
      <c r="G35" s="8">
        <v>89315.4</v>
      </c>
      <c r="H35" s="23">
        <v>113965</v>
      </c>
      <c r="I35">
        <f t="shared" si="1"/>
        <v>113965</v>
      </c>
      <c r="J35" s="36">
        <f t="shared" si="2"/>
        <v>24649.600000000006</v>
      </c>
    </row>
    <row r="36" spans="1:10" ht="15" thickBot="1" x14ac:dyDescent="0.35">
      <c r="A36" s="1" t="s">
        <v>23</v>
      </c>
      <c r="B36" s="7">
        <v>148041</v>
      </c>
      <c r="C36" s="20" t="s">
        <v>59</v>
      </c>
      <c r="D36" s="21">
        <v>18</v>
      </c>
      <c r="E36">
        <v>1</v>
      </c>
      <c r="F36">
        <f t="shared" si="0"/>
        <v>18</v>
      </c>
      <c r="G36" s="8">
        <v>46799.3</v>
      </c>
      <c r="H36" s="23">
        <v>59715</v>
      </c>
      <c r="I36">
        <f t="shared" si="1"/>
        <v>59715</v>
      </c>
      <c r="J36" s="36">
        <f t="shared" si="2"/>
        <v>12915.699999999997</v>
      </c>
    </row>
    <row r="37" spans="1:10" ht="15" thickBot="1" x14ac:dyDescent="0.35">
      <c r="A37" s="1" t="s">
        <v>24</v>
      </c>
      <c r="B37" s="7">
        <v>148043</v>
      </c>
      <c r="C37" s="20" t="s">
        <v>60</v>
      </c>
      <c r="D37" s="21">
        <v>20</v>
      </c>
      <c r="E37">
        <v>1</v>
      </c>
      <c r="F37">
        <f t="shared" si="0"/>
        <v>20</v>
      </c>
      <c r="G37" s="8">
        <v>26029.3</v>
      </c>
      <c r="H37" s="23">
        <v>33215</v>
      </c>
      <c r="I37">
        <f t="shared" si="1"/>
        <v>33215</v>
      </c>
      <c r="J37" s="36">
        <f t="shared" si="2"/>
        <v>7185.7000000000007</v>
      </c>
    </row>
    <row r="38" spans="1:10" ht="15" thickBot="1" x14ac:dyDescent="0.35">
      <c r="A38" s="1" t="s">
        <v>61</v>
      </c>
      <c r="B38" s="7">
        <v>148044</v>
      </c>
      <c r="C38" s="20" t="s">
        <v>62</v>
      </c>
      <c r="D38" s="21">
        <v>20</v>
      </c>
      <c r="E38">
        <v>1</v>
      </c>
      <c r="F38">
        <f t="shared" si="0"/>
        <v>20</v>
      </c>
      <c r="G38" s="8">
        <v>43326.1</v>
      </c>
      <c r="H38" s="23">
        <v>55285</v>
      </c>
      <c r="I38">
        <f t="shared" si="1"/>
        <v>55285</v>
      </c>
      <c r="J38" s="36">
        <f t="shared" si="2"/>
        <v>11958.900000000001</v>
      </c>
    </row>
    <row r="39" spans="1:10" ht="15" thickBot="1" x14ac:dyDescent="0.35">
      <c r="A39" s="1" t="s">
        <v>63</v>
      </c>
      <c r="B39" s="7">
        <v>148042</v>
      </c>
      <c r="C39" s="20" t="s">
        <v>64</v>
      </c>
      <c r="D39" s="21">
        <v>20</v>
      </c>
      <c r="E39">
        <v>1</v>
      </c>
      <c r="F39">
        <f t="shared" si="0"/>
        <v>20</v>
      </c>
      <c r="G39" s="8">
        <v>43530.3</v>
      </c>
      <c r="H39" s="23">
        <v>55545</v>
      </c>
      <c r="I39">
        <f t="shared" si="1"/>
        <v>55545</v>
      </c>
      <c r="J39" s="36">
        <f t="shared" si="2"/>
        <v>12014.699999999997</v>
      </c>
    </row>
    <row r="40" spans="1:10" ht="15" thickBot="1" x14ac:dyDescent="0.35">
      <c r="A40" s="1" t="s">
        <v>65</v>
      </c>
      <c r="B40" s="7">
        <v>12888</v>
      </c>
      <c r="C40" s="20" t="s">
        <v>66</v>
      </c>
      <c r="D40" s="21">
        <v>209</v>
      </c>
      <c r="E40">
        <v>1</v>
      </c>
      <c r="F40">
        <f t="shared" si="0"/>
        <v>209</v>
      </c>
      <c r="G40" s="8">
        <v>88827.5</v>
      </c>
      <c r="H40" s="23">
        <v>113345</v>
      </c>
      <c r="I40">
        <f t="shared" si="1"/>
        <v>113345</v>
      </c>
      <c r="J40" s="36">
        <f t="shared" si="2"/>
        <v>24517.5</v>
      </c>
    </row>
    <row r="41" spans="1:10" ht="15" thickBot="1" x14ac:dyDescent="0.35">
      <c r="A41" s="1" t="s">
        <v>67</v>
      </c>
      <c r="B41" s="7">
        <v>23291</v>
      </c>
      <c r="C41" s="20" t="s">
        <v>68</v>
      </c>
      <c r="D41" s="21">
        <v>18</v>
      </c>
      <c r="E41">
        <v>1</v>
      </c>
      <c r="F41">
        <f t="shared" si="0"/>
        <v>18</v>
      </c>
      <c r="G41" s="8">
        <v>24128.2</v>
      </c>
      <c r="H41" s="23">
        <v>30790</v>
      </c>
      <c r="I41">
        <f t="shared" si="1"/>
        <v>30790</v>
      </c>
      <c r="J41" s="36">
        <f t="shared" si="2"/>
        <v>6661.7999999999993</v>
      </c>
    </row>
    <row r="42" spans="1:10" ht="15" thickBot="1" x14ac:dyDescent="0.35">
      <c r="A42" s="2"/>
      <c r="B42" s="7">
        <v>23330</v>
      </c>
      <c r="C42" s="20" t="s">
        <v>69</v>
      </c>
      <c r="D42" s="21">
        <v>180</v>
      </c>
      <c r="E42">
        <v>1</v>
      </c>
      <c r="F42">
        <f t="shared" si="0"/>
        <v>180</v>
      </c>
      <c r="G42" s="8">
        <v>212646.39999999999</v>
      </c>
      <c r="H42" s="23">
        <v>271335</v>
      </c>
      <c r="I42">
        <f t="shared" si="1"/>
        <v>271335</v>
      </c>
      <c r="J42" s="36">
        <f t="shared" si="2"/>
        <v>58688.600000000006</v>
      </c>
    </row>
    <row r="43" spans="1:10" ht="15" thickBot="1" x14ac:dyDescent="0.35">
      <c r="A43" s="1" t="s">
        <v>70</v>
      </c>
      <c r="B43" s="7">
        <v>23331</v>
      </c>
      <c r="C43" s="20" t="s">
        <v>71</v>
      </c>
      <c r="D43" s="21">
        <v>18</v>
      </c>
      <c r="E43">
        <v>1</v>
      </c>
      <c r="F43">
        <f t="shared" si="0"/>
        <v>18</v>
      </c>
      <c r="G43" s="8">
        <v>20668.2</v>
      </c>
      <c r="H43" s="23">
        <v>26375</v>
      </c>
      <c r="I43">
        <f t="shared" si="1"/>
        <v>26375</v>
      </c>
      <c r="J43" s="36">
        <f t="shared" si="2"/>
        <v>5706.7999999999993</v>
      </c>
    </row>
    <row r="44" spans="1:10" ht="15" thickBot="1" x14ac:dyDescent="0.35">
      <c r="A44" s="1" t="s">
        <v>72</v>
      </c>
      <c r="B44" s="7">
        <v>12741</v>
      </c>
      <c r="C44" s="20" t="s">
        <v>73</v>
      </c>
      <c r="D44" s="21">
        <v>18</v>
      </c>
      <c r="E44">
        <v>1</v>
      </c>
      <c r="F44">
        <f t="shared" si="0"/>
        <v>18</v>
      </c>
      <c r="G44" s="8">
        <v>22740.9</v>
      </c>
      <c r="H44" s="23">
        <v>29015</v>
      </c>
      <c r="I44">
        <f t="shared" si="1"/>
        <v>29015</v>
      </c>
      <c r="J44" s="36">
        <f t="shared" si="2"/>
        <v>6274.0999999999985</v>
      </c>
    </row>
    <row r="45" spans="1:10" ht="15" thickBot="1" x14ac:dyDescent="0.35">
      <c r="A45" s="1" t="s">
        <v>74</v>
      </c>
      <c r="B45" s="7">
        <v>38817</v>
      </c>
      <c r="C45" s="20" t="s">
        <v>75</v>
      </c>
      <c r="D45" s="21">
        <v>0.4</v>
      </c>
      <c r="E45">
        <v>12</v>
      </c>
      <c r="F45">
        <f t="shared" si="0"/>
        <v>4.8000000000000007</v>
      </c>
      <c r="G45" s="8">
        <v>7150.2</v>
      </c>
      <c r="H45" s="22">
        <v>760</v>
      </c>
      <c r="I45">
        <f t="shared" si="1"/>
        <v>9120</v>
      </c>
      <c r="J45" s="36">
        <f t="shared" si="2"/>
        <v>1969.8000000000002</v>
      </c>
    </row>
    <row r="46" spans="1:10" ht="15" thickBot="1" x14ac:dyDescent="0.35">
      <c r="A46" s="2"/>
      <c r="B46" s="7">
        <v>23292</v>
      </c>
      <c r="C46" s="20" t="s">
        <v>76</v>
      </c>
      <c r="D46" s="21">
        <v>18</v>
      </c>
      <c r="E46">
        <v>1</v>
      </c>
      <c r="F46">
        <f t="shared" si="0"/>
        <v>18</v>
      </c>
      <c r="G46" s="8">
        <v>22911.599999999999</v>
      </c>
      <c r="H46" s="23">
        <v>29235</v>
      </c>
      <c r="I46">
        <f t="shared" si="1"/>
        <v>29235</v>
      </c>
      <c r="J46" s="36">
        <f t="shared" si="2"/>
        <v>6323.4000000000015</v>
      </c>
    </row>
    <row r="47" spans="1:10" ht="15" thickBot="1" x14ac:dyDescent="0.35">
      <c r="A47" s="2"/>
      <c r="B47" s="7">
        <v>23324</v>
      </c>
      <c r="C47" s="20" t="s">
        <v>77</v>
      </c>
      <c r="D47" s="21">
        <v>180</v>
      </c>
      <c r="E47">
        <v>1</v>
      </c>
      <c r="F47">
        <f t="shared" si="0"/>
        <v>180</v>
      </c>
      <c r="G47" s="8">
        <v>197777.1</v>
      </c>
      <c r="H47" s="23">
        <v>252365</v>
      </c>
      <c r="I47">
        <f t="shared" si="1"/>
        <v>252365</v>
      </c>
      <c r="J47" s="36">
        <f t="shared" si="2"/>
        <v>54587.899999999994</v>
      </c>
    </row>
    <row r="48" spans="1:10" ht="15" thickBot="1" x14ac:dyDescent="0.35">
      <c r="A48" s="1" t="s">
        <v>78</v>
      </c>
      <c r="B48" s="7">
        <v>12778</v>
      </c>
      <c r="C48" s="20" t="s">
        <v>79</v>
      </c>
      <c r="D48" s="21">
        <v>18</v>
      </c>
      <c r="E48">
        <v>1</v>
      </c>
      <c r="F48">
        <f t="shared" si="0"/>
        <v>18</v>
      </c>
      <c r="G48" s="8">
        <v>24002.5</v>
      </c>
      <c r="H48" s="23">
        <v>30625</v>
      </c>
      <c r="I48">
        <f t="shared" si="1"/>
        <v>30625</v>
      </c>
      <c r="J48" s="36">
        <f t="shared" si="2"/>
        <v>6622.5</v>
      </c>
    </row>
    <row r="49" spans="1:10" ht="15" thickBot="1" x14ac:dyDescent="0.35">
      <c r="A49" s="1" t="s">
        <v>80</v>
      </c>
      <c r="B49" s="7">
        <v>12743</v>
      </c>
      <c r="C49" s="20" t="s">
        <v>81</v>
      </c>
      <c r="D49" s="21">
        <v>18</v>
      </c>
      <c r="E49">
        <v>1</v>
      </c>
      <c r="F49">
        <f t="shared" si="0"/>
        <v>18</v>
      </c>
      <c r="G49" s="8">
        <v>26200.799999999999</v>
      </c>
      <c r="H49" s="23">
        <v>33430</v>
      </c>
      <c r="I49">
        <f t="shared" si="1"/>
        <v>33430</v>
      </c>
      <c r="J49" s="36">
        <f t="shared" si="2"/>
        <v>7229.2000000000007</v>
      </c>
    </row>
    <row r="50" spans="1:10" ht="15" thickBot="1" x14ac:dyDescent="0.35">
      <c r="A50" s="1" t="s">
        <v>82</v>
      </c>
      <c r="B50" s="7">
        <v>38874</v>
      </c>
      <c r="C50" s="20" t="s">
        <v>83</v>
      </c>
      <c r="D50" s="21">
        <v>0.4</v>
      </c>
      <c r="E50">
        <v>12</v>
      </c>
      <c r="F50">
        <f t="shared" si="0"/>
        <v>4.8000000000000007</v>
      </c>
      <c r="G50" s="8">
        <v>7941.1</v>
      </c>
      <c r="H50" s="22">
        <v>845</v>
      </c>
      <c r="I50">
        <f t="shared" si="1"/>
        <v>10140</v>
      </c>
      <c r="J50" s="36">
        <f t="shared" si="2"/>
        <v>2198.8999999999996</v>
      </c>
    </row>
    <row r="51" spans="1:10" ht="15" thickBot="1" x14ac:dyDescent="0.35">
      <c r="A51" s="11"/>
      <c r="B51" s="12">
        <v>23293</v>
      </c>
      <c r="C51" s="20" t="s">
        <v>84</v>
      </c>
      <c r="D51" s="21">
        <v>18</v>
      </c>
      <c r="E51">
        <v>1</v>
      </c>
      <c r="F51">
        <f t="shared" si="0"/>
        <v>18</v>
      </c>
      <c r="G51" s="13">
        <v>32075.5</v>
      </c>
      <c r="H51" s="23">
        <v>40930</v>
      </c>
      <c r="I51">
        <f t="shared" si="1"/>
        <v>40930</v>
      </c>
      <c r="J51" s="36">
        <f t="shared" si="2"/>
        <v>8854.5</v>
      </c>
    </row>
    <row r="52" spans="1:10" ht="15" thickBot="1" x14ac:dyDescent="0.35">
      <c r="A52" s="1" t="s">
        <v>85</v>
      </c>
      <c r="B52" s="7">
        <v>12861</v>
      </c>
      <c r="C52" s="20" t="s">
        <v>86</v>
      </c>
      <c r="D52" s="21">
        <v>210</v>
      </c>
      <c r="E52">
        <v>1</v>
      </c>
      <c r="F52">
        <f t="shared" si="0"/>
        <v>210</v>
      </c>
      <c r="G52" s="8">
        <v>127127.9</v>
      </c>
      <c r="H52" s="23">
        <v>162215</v>
      </c>
      <c r="I52">
        <f t="shared" si="1"/>
        <v>162215</v>
      </c>
      <c r="J52" s="36">
        <f t="shared" si="2"/>
        <v>35087.100000000006</v>
      </c>
    </row>
    <row r="53" spans="1:10" ht="15" thickBot="1" x14ac:dyDescent="0.35">
      <c r="A53" s="1" t="s">
        <v>87</v>
      </c>
      <c r="B53" s="7">
        <v>23371</v>
      </c>
      <c r="C53" s="20" t="s">
        <v>88</v>
      </c>
      <c r="D53" s="21">
        <v>209</v>
      </c>
      <c r="E53">
        <v>1</v>
      </c>
      <c r="F53">
        <f t="shared" si="0"/>
        <v>209</v>
      </c>
      <c r="G53" s="8">
        <v>82491.8</v>
      </c>
      <c r="H53" s="23">
        <v>105260</v>
      </c>
      <c r="I53">
        <f t="shared" si="1"/>
        <v>105260</v>
      </c>
      <c r="J53" s="36">
        <f t="shared" si="2"/>
        <v>22768.199999999997</v>
      </c>
    </row>
    <row r="54" spans="1:10" ht="15" thickBot="1" x14ac:dyDescent="0.35">
      <c r="A54" s="2"/>
      <c r="B54" s="7">
        <v>12750</v>
      </c>
      <c r="C54" s="20" t="s">
        <v>89</v>
      </c>
      <c r="D54" s="21">
        <v>1</v>
      </c>
      <c r="E54">
        <v>1</v>
      </c>
      <c r="F54">
        <f t="shared" si="0"/>
        <v>1</v>
      </c>
      <c r="G54" s="9">
        <v>363.1</v>
      </c>
      <c r="H54" s="22">
        <v>465</v>
      </c>
      <c r="I54">
        <f t="shared" si="1"/>
        <v>465</v>
      </c>
      <c r="J54" s="36">
        <f t="shared" si="2"/>
        <v>101.89999999999998</v>
      </c>
    </row>
    <row r="55" spans="1:10" ht="15" thickBot="1" x14ac:dyDescent="0.35">
      <c r="A55" s="1" t="s">
        <v>90</v>
      </c>
      <c r="B55" s="7">
        <v>156581</v>
      </c>
      <c r="C55" s="20" t="s">
        <v>91</v>
      </c>
      <c r="D55" s="21">
        <v>0.5</v>
      </c>
      <c r="E55">
        <v>24</v>
      </c>
      <c r="F55">
        <f t="shared" si="0"/>
        <v>12</v>
      </c>
      <c r="G55" s="8">
        <v>4687.2</v>
      </c>
      <c r="H55" s="22">
        <v>250</v>
      </c>
      <c r="I55">
        <f t="shared" si="1"/>
        <v>6000</v>
      </c>
      <c r="J55" s="36">
        <f t="shared" si="2"/>
        <v>1312.8000000000002</v>
      </c>
    </row>
    <row r="56" spans="1:10" ht="15" thickBot="1" x14ac:dyDescent="0.35">
      <c r="A56" s="2"/>
      <c r="B56" s="7">
        <v>195884</v>
      </c>
      <c r="C56" s="20" t="s">
        <v>92</v>
      </c>
      <c r="D56" s="21">
        <v>1</v>
      </c>
      <c r="E56">
        <v>12</v>
      </c>
      <c r="F56">
        <f t="shared" si="0"/>
        <v>12</v>
      </c>
      <c r="G56" s="8">
        <v>4439.3999999999996</v>
      </c>
      <c r="H56" s="22">
        <v>470</v>
      </c>
      <c r="I56">
        <f t="shared" si="1"/>
        <v>5640</v>
      </c>
      <c r="J56" s="36">
        <f t="shared" si="2"/>
        <v>1200.6000000000004</v>
      </c>
    </row>
    <row r="57" spans="1:10" ht="15" thickBot="1" x14ac:dyDescent="0.35">
      <c r="A57" s="2"/>
      <c r="B57" s="7">
        <v>156436</v>
      </c>
      <c r="C57" s="20" t="s">
        <v>93</v>
      </c>
      <c r="D57" s="21">
        <v>4</v>
      </c>
      <c r="E57">
        <v>4</v>
      </c>
      <c r="F57">
        <f t="shared" si="0"/>
        <v>16</v>
      </c>
      <c r="G57" s="8">
        <v>5636.3</v>
      </c>
      <c r="H57" s="23">
        <v>1800</v>
      </c>
      <c r="I57">
        <f t="shared" si="1"/>
        <v>7200</v>
      </c>
      <c r="J57" s="36">
        <f t="shared" si="2"/>
        <v>1563.6999999999998</v>
      </c>
    </row>
    <row r="58" spans="1:10" ht="15" thickBot="1" x14ac:dyDescent="0.35">
      <c r="A58" s="1" t="s">
        <v>94</v>
      </c>
      <c r="B58" s="7">
        <v>23370</v>
      </c>
      <c r="C58" s="20" t="s">
        <v>95</v>
      </c>
      <c r="D58" s="21">
        <v>0.5</v>
      </c>
      <c r="E58">
        <v>24</v>
      </c>
      <c r="F58">
        <f t="shared" si="0"/>
        <v>12</v>
      </c>
      <c r="G58" s="8">
        <v>5943.1</v>
      </c>
      <c r="H58" s="22">
        <v>320</v>
      </c>
      <c r="I58">
        <f t="shared" si="1"/>
        <v>7680</v>
      </c>
      <c r="J58" s="36">
        <f t="shared" si="2"/>
        <v>1736.8999999999996</v>
      </c>
    </row>
    <row r="59" spans="1:10" ht="15" thickBot="1" x14ac:dyDescent="0.35">
      <c r="A59" s="2"/>
      <c r="B59" s="7">
        <v>12847</v>
      </c>
      <c r="C59" s="20" t="s">
        <v>96</v>
      </c>
      <c r="D59" s="21">
        <v>1</v>
      </c>
      <c r="E59">
        <v>12</v>
      </c>
      <c r="F59">
        <f t="shared" si="0"/>
        <v>12</v>
      </c>
      <c r="G59" s="8">
        <v>5505.6</v>
      </c>
      <c r="H59" s="22">
        <v>590</v>
      </c>
      <c r="I59">
        <f t="shared" si="1"/>
        <v>7080</v>
      </c>
      <c r="J59" s="36">
        <f t="shared" si="2"/>
        <v>1574.3999999999996</v>
      </c>
    </row>
    <row r="60" spans="1:10" ht="15" thickBot="1" x14ac:dyDescent="0.35">
      <c r="A60" s="2"/>
      <c r="B60" s="7">
        <v>23364</v>
      </c>
      <c r="C60" s="20" t="s">
        <v>97</v>
      </c>
      <c r="D60" s="21">
        <v>4</v>
      </c>
      <c r="E60">
        <v>4</v>
      </c>
      <c r="F60">
        <f t="shared" si="0"/>
        <v>16</v>
      </c>
      <c r="G60" s="8">
        <v>7089.5</v>
      </c>
      <c r="H60" s="23">
        <v>2280</v>
      </c>
      <c r="I60">
        <f t="shared" si="1"/>
        <v>9120</v>
      </c>
      <c r="J60" s="36">
        <f t="shared" si="2"/>
        <v>2030.5</v>
      </c>
    </row>
    <row r="61" spans="1:10" ht="15" thickBot="1" x14ac:dyDescent="0.35">
      <c r="A61" s="2"/>
      <c r="B61" s="7">
        <v>12850</v>
      </c>
      <c r="C61" s="24" t="s">
        <v>98</v>
      </c>
      <c r="D61" s="25">
        <v>5</v>
      </c>
      <c r="E61">
        <v>3</v>
      </c>
      <c r="F61">
        <f t="shared" si="0"/>
        <v>15</v>
      </c>
      <c r="G61" s="8">
        <v>6638.7</v>
      </c>
      <c r="H61" s="26">
        <v>2850</v>
      </c>
      <c r="I61">
        <f t="shared" si="1"/>
        <v>8550</v>
      </c>
      <c r="J61" s="36">
        <f t="shared" si="2"/>
        <v>1911.3000000000002</v>
      </c>
    </row>
    <row r="62" spans="1:10" ht="15" thickBot="1" x14ac:dyDescent="0.35">
      <c r="A62" s="2"/>
      <c r="B62" s="7">
        <v>12849</v>
      </c>
      <c r="C62" s="20" t="s">
        <v>99</v>
      </c>
      <c r="D62" s="21">
        <v>20</v>
      </c>
      <c r="E62">
        <v>1</v>
      </c>
      <c r="F62">
        <f t="shared" si="0"/>
        <v>20</v>
      </c>
      <c r="G62" s="8">
        <v>8607.7999999999993</v>
      </c>
      <c r="H62" s="23">
        <v>11085</v>
      </c>
      <c r="I62">
        <f t="shared" si="1"/>
        <v>11085</v>
      </c>
      <c r="J62" s="36">
        <f t="shared" si="2"/>
        <v>2477.2000000000007</v>
      </c>
    </row>
    <row r="63" spans="1:10" ht="15" thickBot="1" x14ac:dyDescent="0.35">
      <c r="A63" s="2"/>
      <c r="B63" s="7">
        <v>23363</v>
      </c>
      <c r="C63" s="20" t="s">
        <v>100</v>
      </c>
      <c r="D63" s="21">
        <v>209</v>
      </c>
      <c r="E63">
        <v>1</v>
      </c>
      <c r="F63">
        <f t="shared" si="0"/>
        <v>209</v>
      </c>
      <c r="G63" s="8">
        <v>86133.6</v>
      </c>
      <c r="H63" s="23">
        <v>110905</v>
      </c>
      <c r="I63">
        <f t="shared" si="1"/>
        <v>110905</v>
      </c>
      <c r="J63" s="36">
        <f t="shared" si="2"/>
        <v>24771.399999999994</v>
      </c>
    </row>
    <row r="64" spans="1:10" ht="15" thickBot="1" x14ac:dyDescent="0.35">
      <c r="A64" s="1" t="s">
        <v>101</v>
      </c>
      <c r="B64" s="7">
        <v>109522</v>
      </c>
      <c r="C64" s="20" t="s">
        <v>102</v>
      </c>
      <c r="D64" s="21">
        <v>1</v>
      </c>
      <c r="E64">
        <v>12</v>
      </c>
      <c r="F64">
        <f t="shared" si="0"/>
        <v>12</v>
      </c>
      <c r="G64" s="8">
        <v>5335</v>
      </c>
      <c r="H64" s="22">
        <v>570</v>
      </c>
      <c r="I64">
        <f t="shared" si="1"/>
        <v>6840</v>
      </c>
      <c r="J64" s="36">
        <f t="shared" si="2"/>
        <v>1505</v>
      </c>
    </row>
    <row r="65" spans="1:10" ht="15" thickBot="1" x14ac:dyDescent="0.35">
      <c r="A65" s="2"/>
      <c r="B65" s="7">
        <v>81551</v>
      </c>
      <c r="C65" s="20" t="s">
        <v>103</v>
      </c>
      <c r="D65" s="21">
        <v>4</v>
      </c>
      <c r="E65">
        <v>4</v>
      </c>
      <c r="F65">
        <f t="shared" si="0"/>
        <v>16</v>
      </c>
      <c r="G65" s="8">
        <v>6924.9</v>
      </c>
      <c r="H65" s="23">
        <v>2230</v>
      </c>
      <c r="I65">
        <f t="shared" si="1"/>
        <v>8920</v>
      </c>
      <c r="J65" s="36">
        <f t="shared" si="2"/>
        <v>1995.1000000000004</v>
      </c>
    </row>
    <row r="66" spans="1:10" ht="15" thickBot="1" x14ac:dyDescent="0.35">
      <c r="A66" s="1" t="s">
        <v>104</v>
      </c>
      <c r="B66" s="7">
        <v>106465</v>
      </c>
      <c r="C66" s="20" t="s">
        <v>105</v>
      </c>
      <c r="D66" s="21">
        <v>1</v>
      </c>
      <c r="E66">
        <v>12</v>
      </c>
      <c r="F66">
        <f t="shared" si="0"/>
        <v>12</v>
      </c>
      <c r="G66" s="8">
        <v>8190.1</v>
      </c>
      <c r="H66" s="22">
        <v>885</v>
      </c>
      <c r="I66">
        <f t="shared" si="1"/>
        <v>10620</v>
      </c>
      <c r="J66" s="36">
        <f t="shared" si="2"/>
        <v>2429.8999999999996</v>
      </c>
    </row>
    <row r="67" spans="1:10" ht="15" thickBot="1" x14ac:dyDescent="0.35">
      <c r="A67" s="2"/>
      <c r="B67" s="7">
        <v>106564</v>
      </c>
      <c r="C67" s="20" t="s">
        <v>106</v>
      </c>
      <c r="D67" s="21">
        <v>4</v>
      </c>
      <c r="E67">
        <v>4</v>
      </c>
      <c r="F67">
        <f t="shared" si="0"/>
        <v>16</v>
      </c>
      <c r="G67" s="8">
        <v>9993</v>
      </c>
      <c r="H67" s="23">
        <v>3245</v>
      </c>
      <c r="I67">
        <f t="shared" si="1"/>
        <v>12980</v>
      </c>
      <c r="J67" s="36">
        <f t="shared" si="2"/>
        <v>2987</v>
      </c>
    </row>
    <row r="68" spans="1:10" ht="15" thickBot="1" x14ac:dyDescent="0.35">
      <c r="A68" s="1" t="s">
        <v>107</v>
      </c>
      <c r="B68" s="7">
        <v>106568</v>
      </c>
      <c r="C68" s="20" t="s">
        <v>108</v>
      </c>
      <c r="D68" s="21">
        <v>1</v>
      </c>
      <c r="E68">
        <v>12</v>
      </c>
      <c r="F68">
        <f t="shared" si="0"/>
        <v>12</v>
      </c>
      <c r="G68" s="8">
        <v>9486.6</v>
      </c>
      <c r="H68" s="23">
        <v>1025</v>
      </c>
      <c r="I68">
        <f t="shared" si="1"/>
        <v>12300</v>
      </c>
      <c r="J68" s="36">
        <f t="shared" si="2"/>
        <v>2813.3999999999996</v>
      </c>
    </row>
    <row r="69" spans="1:10" ht="15" thickBot="1" x14ac:dyDescent="0.35">
      <c r="A69" s="2"/>
      <c r="B69" s="7">
        <v>106572</v>
      </c>
      <c r="C69" s="20" t="s">
        <v>109</v>
      </c>
      <c r="D69" s="21">
        <v>4</v>
      </c>
      <c r="E69">
        <v>4</v>
      </c>
      <c r="F69">
        <f t="shared" si="0"/>
        <v>16</v>
      </c>
      <c r="G69" s="8">
        <v>11990.1</v>
      </c>
      <c r="H69" s="23">
        <v>3895</v>
      </c>
      <c r="I69">
        <f t="shared" si="1"/>
        <v>15580</v>
      </c>
      <c r="J69" s="36">
        <f t="shared" si="2"/>
        <v>3589.8999999999996</v>
      </c>
    </row>
    <row r="70" spans="1:10" ht="15" thickBot="1" x14ac:dyDescent="0.35">
      <c r="A70" s="2"/>
      <c r="B70" s="7">
        <v>106569</v>
      </c>
      <c r="C70" s="20" t="s">
        <v>110</v>
      </c>
      <c r="D70" s="21">
        <v>209</v>
      </c>
      <c r="E70">
        <v>1</v>
      </c>
      <c r="F70">
        <f t="shared" ref="F70:F133" si="3">SUM(E70*D70)</f>
        <v>209</v>
      </c>
      <c r="G70" s="8">
        <v>90086.2</v>
      </c>
      <c r="H70" s="23">
        <v>117040</v>
      </c>
      <c r="I70">
        <f t="shared" ref="I70:I133" si="4">SUM(H70*E70)</f>
        <v>117040</v>
      </c>
      <c r="J70" s="36">
        <f t="shared" ref="J70:J133" si="5">SUM(I70-G70)</f>
        <v>26953.800000000003</v>
      </c>
    </row>
    <row r="71" spans="1:10" ht="15" thickBot="1" x14ac:dyDescent="0.35">
      <c r="A71" s="1" t="s">
        <v>111</v>
      </c>
      <c r="B71" s="7">
        <v>106573</v>
      </c>
      <c r="C71" s="20" t="s">
        <v>112</v>
      </c>
      <c r="D71" s="21">
        <v>1</v>
      </c>
      <c r="E71">
        <v>12</v>
      </c>
      <c r="F71">
        <f t="shared" si="3"/>
        <v>12</v>
      </c>
      <c r="G71" s="8">
        <v>11013.5</v>
      </c>
      <c r="H71" s="23">
        <v>1190</v>
      </c>
      <c r="I71">
        <f t="shared" si="4"/>
        <v>14280</v>
      </c>
      <c r="J71" s="36">
        <f t="shared" si="5"/>
        <v>3266.5</v>
      </c>
    </row>
    <row r="72" spans="1:10" ht="15" thickBot="1" x14ac:dyDescent="0.35">
      <c r="A72" s="2"/>
      <c r="B72" s="7">
        <v>106577</v>
      </c>
      <c r="C72" s="20" t="s">
        <v>113</v>
      </c>
      <c r="D72" s="21">
        <v>4</v>
      </c>
      <c r="E72">
        <v>4</v>
      </c>
      <c r="F72">
        <f t="shared" si="3"/>
        <v>16</v>
      </c>
      <c r="G72" s="8">
        <v>13337.1</v>
      </c>
      <c r="H72" s="23">
        <v>4330</v>
      </c>
      <c r="I72">
        <f t="shared" si="4"/>
        <v>17320</v>
      </c>
      <c r="J72" s="36">
        <f t="shared" si="5"/>
        <v>3982.8999999999996</v>
      </c>
    </row>
    <row r="73" spans="1:10" ht="15" thickBot="1" x14ac:dyDescent="0.35">
      <c r="A73" s="2"/>
      <c r="B73" s="7">
        <v>106574</v>
      </c>
      <c r="C73" s="20" t="s">
        <v>114</v>
      </c>
      <c r="D73" s="21">
        <v>209</v>
      </c>
      <c r="E73">
        <v>1</v>
      </c>
      <c r="F73">
        <f t="shared" si="3"/>
        <v>209</v>
      </c>
      <c r="G73" s="8">
        <v>163102.9</v>
      </c>
      <c r="H73" s="23">
        <v>211905</v>
      </c>
      <c r="I73">
        <f t="shared" si="4"/>
        <v>211905</v>
      </c>
      <c r="J73" s="36">
        <f t="shared" si="5"/>
        <v>48802.100000000006</v>
      </c>
    </row>
    <row r="74" spans="1:10" ht="15" thickBot="1" x14ac:dyDescent="0.35">
      <c r="A74" s="1" t="s">
        <v>115</v>
      </c>
      <c r="B74" s="7">
        <v>148084</v>
      </c>
      <c r="C74" s="20" t="s">
        <v>116</v>
      </c>
      <c r="D74" s="21">
        <v>1</v>
      </c>
      <c r="E74">
        <v>12</v>
      </c>
      <c r="F74">
        <f t="shared" si="3"/>
        <v>12</v>
      </c>
      <c r="G74" s="8">
        <v>15822</v>
      </c>
      <c r="H74" s="23">
        <v>1680</v>
      </c>
      <c r="I74">
        <f t="shared" si="4"/>
        <v>20160</v>
      </c>
      <c r="J74" s="36">
        <f t="shared" si="5"/>
        <v>4338</v>
      </c>
    </row>
    <row r="75" spans="1:10" ht="15" thickBot="1" x14ac:dyDescent="0.35">
      <c r="A75" s="2"/>
      <c r="B75" s="7">
        <v>133926</v>
      </c>
      <c r="C75" s="20" t="s">
        <v>117</v>
      </c>
      <c r="D75" s="21">
        <v>5</v>
      </c>
      <c r="E75">
        <v>3</v>
      </c>
      <c r="F75">
        <f t="shared" si="3"/>
        <v>15</v>
      </c>
      <c r="G75" s="8">
        <v>18813.2</v>
      </c>
      <c r="H75" s="23">
        <v>8000</v>
      </c>
      <c r="I75">
        <f t="shared" si="4"/>
        <v>24000</v>
      </c>
      <c r="J75" s="36">
        <f t="shared" si="5"/>
        <v>5186.7999999999993</v>
      </c>
    </row>
    <row r="76" spans="1:10" ht="15" thickBot="1" x14ac:dyDescent="0.35">
      <c r="A76" s="1" t="s">
        <v>118</v>
      </c>
      <c r="B76" s="7">
        <v>12825</v>
      </c>
      <c r="C76" s="20" t="s">
        <v>119</v>
      </c>
      <c r="D76" s="21">
        <v>1</v>
      </c>
      <c r="E76">
        <v>12</v>
      </c>
      <c r="F76">
        <f t="shared" si="3"/>
        <v>12</v>
      </c>
      <c r="G76" s="8">
        <v>18781.2</v>
      </c>
      <c r="H76" s="23">
        <v>1995</v>
      </c>
      <c r="I76">
        <f t="shared" si="4"/>
        <v>23940</v>
      </c>
      <c r="J76" s="36">
        <f t="shared" si="5"/>
        <v>5158.7999999999993</v>
      </c>
    </row>
    <row r="77" spans="1:10" ht="15" thickBot="1" x14ac:dyDescent="0.35">
      <c r="A77" s="2"/>
      <c r="B77" s="7">
        <v>23359</v>
      </c>
      <c r="C77" s="20" t="s">
        <v>120</v>
      </c>
      <c r="D77" s="21">
        <v>5</v>
      </c>
      <c r="E77">
        <v>3</v>
      </c>
      <c r="F77">
        <f t="shared" si="3"/>
        <v>15</v>
      </c>
      <c r="G77" s="8">
        <v>21817.9</v>
      </c>
      <c r="H77" s="23">
        <v>9280</v>
      </c>
      <c r="I77">
        <f t="shared" si="4"/>
        <v>27840</v>
      </c>
      <c r="J77" s="36">
        <f t="shared" si="5"/>
        <v>6022.0999999999985</v>
      </c>
    </row>
    <row r="78" spans="1:10" ht="15" thickBot="1" x14ac:dyDescent="0.35">
      <c r="A78" s="2"/>
      <c r="B78" s="7">
        <v>38856</v>
      </c>
      <c r="C78" s="20" t="s">
        <v>121</v>
      </c>
      <c r="D78" s="21">
        <v>209</v>
      </c>
      <c r="E78">
        <v>1</v>
      </c>
      <c r="F78">
        <f t="shared" si="3"/>
        <v>209</v>
      </c>
      <c r="G78" s="8">
        <v>230028.6</v>
      </c>
      <c r="H78" s="23">
        <v>293515</v>
      </c>
      <c r="I78">
        <f t="shared" si="4"/>
        <v>293515</v>
      </c>
      <c r="J78" s="36">
        <f t="shared" si="5"/>
        <v>63486.399999999994</v>
      </c>
    </row>
    <row r="79" spans="1:10" ht="15" thickBot="1" x14ac:dyDescent="0.35">
      <c r="A79" s="1" t="s">
        <v>122</v>
      </c>
      <c r="B79" s="7">
        <v>12827</v>
      </c>
      <c r="C79" s="20" t="s">
        <v>123</v>
      </c>
      <c r="D79" s="21">
        <v>5</v>
      </c>
      <c r="E79">
        <v>3</v>
      </c>
      <c r="F79">
        <f t="shared" si="3"/>
        <v>15</v>
      </c>
      <c r="G79" s="8">
        <v>5777.6</v>
      </c>
      <c r="H79" s="23">
        <v>2455</v>
      </c>
      <c r="I79">
        <f t="shared" si="4"/>
        <v>7365</v>
      </c>
      <c r="J79" s="36">
        <f t="shared" si="5"/>
        <v>1587.3999999999996</v>
      </c>
    </row>
    <row r="80" spans="1:10" ht="15" thickBot="1" x14ac:dyDescent="0.35">
      <c r="A80" s="2"/>
      <c r="B80" s="7">
        <v>12828</v>
      </c>
      <c r="C80" s="20" t="s">
        <v>124</v>
      </c>
      <c r="D80" s="21">
        <v>20</v>
      </c>
      <c r="E80">
        <v>1</v>
      </c>
      <c r="F80">
        <f t="shared" si="3"/>
        <v>20</v>
      </c>
      <c r="G80" s="8">
        <v>7393.2</v>
      </c>
      <c r="H80" s="23">
        <v>9435</v>
      </c>
      <c r="I80">
        <f t="shared" si="4"/>
        <v>9435</v>
      </c>
      <c r="J80" s="36">
        <f t="shared" si="5"/>
        <v>2041.8000000000002</v>
      </c>
    </row>
    <row r="81" spans="1:10" ht="15" thickBot="1" x14ac:dyDescent="0.35">
      <c r="A81" s="2"/>
      <c r="B81" s="7">
        <v>12829</v>
      </c>
      <c r="C81" s="20" t="s">
        <v>125</v>
      </c>
      <c r="D81" s="21">
        <v>209</v>
      </c>
      <c r="E81">
        <v>1</v>
      </c>
      <c r="F81">
        <f t="shared" si="3"/>
        <v>209</v>
      </c>
      <c r="G81" s="8">
        <v>74452.600000000006</v>
      </c>
      <c r="H81" s="23">
        <v>95000</v>
      </c>
      <c r="I81">
        <f t="shared" si="4"/>
        <v>95000</v>
      </c>
      <c r="J81" s="36">
        <f t="shared" si="5"/>
        <v>20547.399999999994</v>
      </c>
    </row>
    <row r="82" spans="1:10" ht="15" thickBot="1" x14ac:dyDescent="0.35">
      <c r="A82" s="1" t="s">
        <v>126</v>
      </c>
      <c r="B82" s="7">
        <v>12837</v>
      </c>
      <c r="C82" s="20" t="s">
        <v>127</v>
      </c>
      <c r="D82" s="21">
        <v>5</v>
      </c>
      <c r="E82">
        <v>3</v>
      </c>
      <c r="F82">
        <f t="shared" si="3"/>
        <v>15</v>
      </c>
      <c r="G82" s="8">
        <v>5883</v>
      </c>
      <c r="H82" s="23">
        <v>2500</v>
      </c>
      <c r="I82">
        <f t="shared" si="4"/>
        <v>7500</v>
      </c>
      <c r="J82" s="36">
        <f t="shared" si="5"/>
        <v>1617</v>
      </c>
    </row>
    <row r="83" spans="1:10" ht="15" thickBot="1" x14ac:dyDescent="0.35">
      <c r="A83" s="2"/>
      <c r="B83" s="7">
        <v>12836</v>
      </c>
      <c r="C83" s="20" t="s">
        <v>128</v>
      </c>
      <c r="D83" s="21">
        <v>20</v>
      </c>
      <c r="E83">
        <v>1</v>
      </c>
      <c r="F83">
        <f t="shared" si="3"/>
        <v>20</v>
      </c>
      <c r="G83" s="8">
        <v>7547.5</v>
      </c>
      <c r="H83" s="23">
        <v>9630</v>
      </c>
      <c r="I83">
        <f t="shared" si="4"/>
        <v>9630</v>
      </c>
      <c r="J83" s="36">
        <f t="shared" si="5"/>
        <v>2082.5</v>
      </c>
    </row>
    <row r="84" spans="1:10" ht="15" thickBot="1" x14ac:dyDescent="0.35">
      <c r="A84" s="2"/>
      <c r="B84" s="7">
        <v>12835</v>
      </c>
      <c r="C84" s="20" t="s">
        <v>129</v>
      </c>
      <c r="D84" s="21">
        <v>209</v>
      </c>
      <c r="E84">
        <v>1</v>
      </c>
      <c r="F84">
        <f t="shared" si="3"/>
        <v>209</v>
      </c>
      <c r="G84" s="8">
        <v>73807.5</v>
      </c>
      <c r="H84" s="23">
        <v>94180</v>
      </c>
      <c r="I84">
        <f t="shared" si="4"/>
        <v>94180</v>
      </c>
      <c r="J84" s="36">
        <f t="shared" si="5"/>
        <v>20372.5</v>
      </c>
    </row>
    <row r="85" spans="1:10" ht="15" thickBot="1" x14ac:dyDescent="0.35">
      <c r="A85" s="1" t="s">
        <v>130</v>
      </c>
      <c r="B85" s="7">
        <v>12834</v>
      </c>
      <c r="C85" s="20" t="s">
        <v>131</v>
      </c>
      <c r="D85" s="21">
        <v>5</v>
      </c>
      <c r="E85">
        <v>3</v>
      </c>
      <c r="F85">
        <f t="shared" si="3"/>
        <v>15</v>
      </c>
      <c r="G85" s="8">
        <v>6063.9</v>
      </c>
      <c r="H85" s="23">
        <v>2580</v>
      </c>
      <c r="I85">
        <f t="shared" si="4"/>
        <v>7740</v>
      </c>
      <c r="J85" s="36">
        <f t="shared" si="5"/>
        <v>1676.1000000000004</v>
      </c>
    </row>
    <row r="86" spans="1:10" ht="15" thickBot="1" x14ac:dyDescent="0.35">
      <c r="A86" s="2"/>
      <c r="B86" s="7">
        <v>12833</v>
      </c>
      <c r="C86" s="20" t="s">
        <v>132</v>
      </c>
      <c r="D86" s="21">
        <v>20</v>
      </c>
      <c r="E86">
        <v>1</v>
      </c>
      <c r="F86">
        <f t="shared" si="3"/>
        <v>20</v>
      </c>
      <c r="G86" s="8">
        <v>7682.3</v>
      </c>
      <c r="H86" s="23">
        <v>9805</v>
      </c>
      <c r="I86">
        <f t="shared" si="4"/>
        <v>9805</v>
      </c>
      <c r="J86" s="36">
        <f t="shared" si="5"/>
        <v>2122.6999999999998</v>
      </c>
    </row>
    <row r="87" spans="1:10" ht="15" thickBot="1" x14ac:dyDescent="0.35">
      <c r="A87" s="2"/>
      <c r="B87" s="7">
        <v>12832</v>
      </c>
      <c r="C87" s="20" t="s">
        <v>133</v>
      </c>
      <c r="D87" s="21">
        <v>209</v>
      </c>
      <c r="E87">
        <v>1</v>
      </c>
      <c r="F87">
        <f t="shared" si="3"/>
        <v>209</v>
      </c>
      <c r="G87" s="8">
        <v>77232.399999999994</v>
      </c>
      <c r="H87" s="23">
        <v>98550</v>
      </c>
      <c r="I87">
        <f t="shared" si="4"/>
        <v>98550</v>
      </c>
      <c r="J87" s="36">
        <f t="shared" si="5"/>
        <v>21317.600000000006</v>
      </c>
    </row>
    <row r="88" spans="1:10" ht="15" thickBot="1" x14ac:dyDescent="0.35">
      <c r="A88" s="1" t="s">
        <v>134</v>
      </c>
      <c r="B88" s="7">
        <v>12655</v>
      </c>
      <c r="C88" s="20" t="s">
        <v>135</v>
      </c>
      <c r="D88" s="21">
        <v>209</v>
      </c>
      <c r="E88">
        <v>1</v>
      </c>
      <c r="F88">
        <f t="shared" si="3"/>
        <v>209</v>
      </c>
      <c r="G88" s="8">
        <v>93724.800000000003</v>
      </c>
      <c r="H88" s="23">
        <v>119595</v>
      </c>
      <c r="I88">
        <f t="shared" si="4"/>
        <v>119595</v>
      </c>
      <c r="J88" s="36">
        <f t="shared" si="5"/>
        <v>25870.199999999997</v>
      </c>
    </row>
    <row r="89" spans="1:10" ht="15" thickBot="1" x14ac:dyDescent="0.35">
      <c r="A89" s="1" t="s">
        <v>136</v>
      </c>
      <c r="B89" s="7">
        <v>12783</v>
      </c>
      <c r="C89" s="20" t="s">
        <v>137</v>
      </c>
      <c r="D89" s="21">
        <v>209</v>
      </c>
      <c r="E89">
        <v>1</v>
      </c>
      <c r="F89">
        <f t="shared" si="3"/>
        <v>209</v>
      </c>
      <c r="G89" s="8">
        <v>191125.7</v>
      </c>
      <c r="H89" s="23">
        <v>243875</v>
      </c>
      <c r="I89">
        <f t="shared" si="4"/>
        <v>243875</v>
      </c>
      <c r="J89" s="36">
        <f t="shared" si="5"/>
        <v>52749.299999999988</v>
      </c>
    </row>
    <row r="90" spans="1:10" ht="15" thickBot="1" x14ac:dyDescent="0.35">
      <c r="A90" s="1" t="s">
        <v>138</v>
      </c>
      <c r="B90" s="7">
        <v>12751</v>
      </c>
      <c r="C90" s="20" t="s">
        <v>139</v>
      </c>
      <c r="D90" s="21">
        <v>209</v>
      </c>
      <c r="E90">
        <v>1</v>
      </c>
      <c r="F90">
        <f t="shared" si="3"/>
        <v>209</v>
      </c>
      <c r="G90" s="8">
        <v>193218.4</v>
      </c>
      <c r="H90" s="23">
        <v>246545</v>
      </c>
      <c r="I90">
        <f t="shared" si="4"/>
        <v>246545</v>
      </c>
      <c r="J90" s="36">
        <f t="shared" si="5"/>
        <v>53326.600000000006</v>
      </c>
    </row>
    <row r="91" spans="1:10" ht="15" thickBot="1" x14ac:dyDescent="0.35">
      <c r="A91" s="1" t="s">
        <v>140</v>
      </c>
      <c r="B91" s="7">
        <v>12753</v>
      </c>
      <c r="C91" s="20" t="s">
        <v>141</v>
      </c>
      <c r="D91" s="21">
        <v>209</v>
      </c>
      <c r="E91">
        <v>1</v>
      </c>
      <c r="F91">
        <f t="shared" si="3"/>
        <v>209</v>
      </c>
      <c r="G91" s="8">
        <v>217317.3</v>
      </c>
      <c r="H91" s="23">
        <v>277295</v>
      </c>
      <c r="I91">
        <f t="shared" si="4"/>
        <v>277295</v>
      </c>
      <c r="J91" s="36">
        <f t="shared" si="5"/>
        <v>59977.700000000012</v>
      </c>
    </row>
    <row r="92" spans="1:10" ht="15" thickBot="1" x14ac:dyDescent="0.35">
      <c r="A92" s="1" t="s">
        <v>142</v>
      </c>
      <c r="B92" s="7">
        <v>12679</v>
      </c>
      <c r="C92" s="20" t="s">
        <v>143</v>
      </c>
      <c r="D92" s="21">
        <v>209</v>
      </c>
      <c r="E92">
        <v>1</v>
      </c>
      <c r="F92">
        <f t="shared" si="3"/>
        <v>209</v>
      </c>
      <c r="G92" s="8">
        <v>170721.7</v>
      </c>
      <c r="H92" s="23">
        <v>217840</v>
      </c>
      <c r="I92">
        <f t="shared" si="4"/>
        <v>217840</v>
      </c>
      <c r="J92" s="36">
        <f t="shared" si="5"/>
        <v>47118.299999999988</v>
      </c>
    </row>
    <row r="93" spans="1:10" ht="15" thickBot="1" x14ac:dyDescent="0.35">
      <c r="A93" s="1" t="s">
        <v>144</v>
      </c>
      <c r="B93" s="7">
        <v>12705</v>
      </c>
      <c r="C93" s="20" t="s">
        <v>145</v>
      </c>
      <c r="D93" s="21">
        <v>20</v>
      </c>
      <c r="E93">
        <v>1</v>
      </c>
      <c r="F93">
        <f t="shared" si="3"/>
        <v>20</v>
      </c>
      <c r="G93" s="8">
        <v>48686.8</v>
      </c>
      <c r="H93" s="23">
        <v>62125</v>
      </c>
      <c r="I93">
        <f t="shared" si="4"/>
        <v>62125</v>
      </c>
      <c r="J93" s="36">
        <f t="shared" si="5"/>
        <v>13438.199999999997</v>
      </c>
    </row>
    <row r="94" spans="1:10" ht="15" thickBot="1" x14ac:dyDescent="0.35">
      <c r="A94" s="1" t="s">
        <v>146</v>
      </c>
      <c r="B94" s="7">
        <v>23354</v>
      </c>
      <c r="C94" s="20" t="s">
        <v>147</v>
      </c>
      <c r="D94" s="21">
        <v>209</v>
      </c>
      <c r="E94">
        <v>1</v>
      </c>
      <c r="F94">
        <f t="shared" si="3"/>
        <v>209</v>
      </c>
      <c r="G94" s="8">
        <v>102950.6</v>
      </c>
      <c r="H94" s="23">
        <v>131365</v>
      </c>
      <c r="I94">
        <f t="shared" si="4"/>
        <v>131365</v>
      </c>
      <c r="J94" s="36">
        <f t="shared" si="5"/>
        <v>28414.399999999994</v>
      </c>
    </row>
    <row r="95" spans="1:10" ht="15" thickBot="1" x14ac:dyDescent="0.35">
      <c r="A95" s="1" t="s">
        <v>146</v>
      </c>
      <c r="B95" s="7">
        <v>23354</v>
      </c>
      <c r="C95" s="20" t="s">
        <v>147</v>
      </c>
      <c r="D95" s="21">
        <v>209</v>
      </c>
      <c r="E95">
        <v>1</v>
      </c>
      <c r="F95">
        <f t="shared" si="3"/>
        <v>209</v>
      </c>
      <c r="G95" s="8">
        <v>102950.6</v>
      </c>
      <c r="H95" s="23">
        <v>131365</v>
      </c>
      <c r="I95">
        <f t="shared" si="4"/>
        <v>131365</v>
      </c>
      <c r="J95" s="36">
        <f t="shared" si="5"/>
        <v>28414.399999999994</v>
      </c>
    </row>
    <row r="96" spans="1:10" ht="15" thickBot="1" x14ac:dyDescent="0.35">
      <c r="A96" s="1" t="s">
        <v>148</v>
      </c>
      <c r="B96" s="7">
        <v>38952</v>
      </c>
      <c r="C96" s="20" t="s">
        <v>149</v>
      </c>
      <c r="D96" s="21">
        <v>209</v>
      </c>
      <c r="E96">
        <v>1</v>
      </c>
      <c r="F96">
        <f t="shared" si="3"/>
        <v>209</v>
      </c>
      <c r="G96" s="8">
        <v>95428.4</v>
      </c>
      <c r="H96" s="23">
        <v>121765</v>
      </c>
      <c r="I96">
        <f t="shared" si="4"/>
        <v>121765</v>
      </c>
      <c r="J96" s="36">
        <f t="shared" si="5"/>
        <v>26336.600000000006</v>
      </c>
    </row>
    <row r="97" spans="1:10" ht="15" thickBot="1" x14ac:dyDescent="0.35">
      <c r="A97" s="1" t="s">
        <v>150</v>
      </c>
      <c r="B97" s="7">
        <v>39902</v>
      </c>
      <c r="C97" s="20" t="s">
        <v>151</v>
      </c>
      <c r="D97" s="21">
        <v>20</v>
      </c>
      <c r="E97">
        <v>1</v>
      </c>
      <c r="F97">
        <f t="shared" si="3"/>
        <v>20</v>
      </c>
      <c r="G97" s="8">
        <v>9036</v>
      </c>
      <c r="H97" s="23">
        <v>11530</v>
      </c>
      <c r="I97">
        <f t="shared" si="4"/>
        <v>11530</v>
      </c>
      <c r="J97" s="36">
        <f t="shared" si="5"/>
        <v>2494</v>
      </c>
    </row>
    <row r="98" spans="1:10" ht="15" thickBot="1" x14ac:dyDescent="0.35">
      <c r="A98" s="2"/>
      <c r="B98" s="7">
        <v>38960</v>
      </c>
      <c r="C98" s="20" t="s">
        <v>152</v>
      </c>
      <c r="D98" s="21">
        <v>209</v>
      </c>
      <c r="E98">
        <v>1</v>
      </c>
      <c r="F98">
        <f t="shared" si="3"/>
        <v>209</v>
      </c>
      <c r="G98" s="8">
        <v>92974.7</v>
      </c>
      <c r="H98" s="23">
        <v>118635</v>
      </c>
      <c r="I98">
        <f t="shared" si="4"/>
        <v>118635</v>
      </c>
      <c r="J98" s="36">
        <f t="shared" si="5"/>
        <v>25660.300000000003</v>
      </c>
    </row>
    <row r="99" spans="1:10" ht="15" thickBot="1" x14ac:dyDescent="0.35">
      <c r="A99" s="1" t="s">
        <v>153</v>
      </c>
      <c r="B99" s="7">
        <v>38958</v>
      </c>
      <c r="C99" s="20" t="s">
        <v>154</v>
      </c>
      <c r="D99" s="21">
        <v>20</v>
      </c>
      <c r="E99">
        <v>1</v>
      </c>
      <c r="F99">
        <f t="shared" si="3"/>
        <v>20</v>
      </c>
      <c r="G99" s="8">
        <v>9031.2999999999993</v>
      </c>
      <c r="H99" s="23">
        <v>11525</v>
      </c>
      <c r="I99">
        <f t="shared" si="4"/>
        <v>11525</v>
      </c>
      <c r="J99" s="36">
        <f t="shared" si="5"/>
        <v>2493.7000000000007</v>
      </c>
    </row>
    <row r="100" spans="1:10" ht="15" thickBot="1" x14ac:dyDescent="0.35">
      <c r="A100" s="2"/>
      <c r="B100" s="7">
        <v>38959</v>
      </c>
      <c r="C100" s="20" t="s">
        <v>155</v>
      </c>
      <c r="D100" s="21">
        <v>209</v>
      </c>
      <c r="E100">
        <v>1</v>
      </c>
      <c r="F100">
        <f t="shared" si="3"/>
        <v>209</v>
      </c>
      <c r="G100" s="8">
        <v>97667.6</v>
      </c>
      <c r="H100" s="23">
        <v>124625</v>
      </c>
      <c r="I100">
        <f t="shared" si="4"/>
        <v>124625</v>
      </c>
      <c r="J100" s="36">
        <f t="shared" si="5"/>
        <v>26957.399999999994</v>
      </c>
    </row>
    <row r="101" spans="1:10" ht="15" thickBot="1" x14ac:dyDescent="0.35">
      <c r="A101" s="1" t="s">
        <v>156</v>
      </c>
      <c r="B101" s="7">
        <v>38956</v>
      </c>
      <c r="C101" s="20" t="s">
        <v>157</v>
      </c>
      <c r="D101" s="21">
        <v>20</v>
      </c>
      <c r="E101">
        <v>1</v>
      </c>
      <c r="F101">
        <f t="shared" si="3"/>
        <v>20</v>
      </c>
      <c r="G101" s="8">
        <v>8945.1</v>
      </c>
      <c r="H101" s="23">
        <v>11415</v>
      </c>
      <c r="I101">
        <f t="shared" si="4"/>
        <v>11415</v>
      </c>
      <c r="J101" s="36">
        <f t="shared" si="5"/>
        <v>2469.8999999999996</v>
      </c>
    </row>
    <row r="102" spans="1:10" ht="15" thickBot="1" x14ac:dyDescent="0.35">
      <c r="A102" s="2"/>
      <c r="B102" s="7">
        <v>38957</v>
      </c>
      <c r="C102" s="20" t="s">
        <v>158</v>
      </c>
      <c r="D102" s="21">
        <v>209</v>
      </c>
      <c r="E102">
        <v>1</v>
      </c>
      <c r="F102">
        <f t="shared" si="3"/>
        <v>209</v>
      </c>
      <c r="G102" s="8">
        <v>92468.800000000003</v>
      </c>
      <c r="H102" s="23">
        <v>117990</v>
      </c>
      <c r="I102">
        <f t="shared" si="4"/>
        <v>117990</v>
      </c>
      <c r="J102" s="36">
        <f t="shared" si="5"/>
        <v>25521.199999999997</v>
      </c>
    </row>
    <row r="103" spans="1:10" ht="15" thickBot="1" x14ac:dyDescent="0.35">
      <c r="A103" s="14" t="s">
        <v>159</v>
      </c>
      <c r="B103" s="12">
        <v>38954</v>
      </c>
      <c r="C103" s="20" t="s">
        <v>160</v>
      </c>
      <c r="D103" s="21">
        <v>20</v>
      </c>
      <c r="E103">
        <v>1</v>
      </c>
      <c r="F103">
        <f t="shared" si="3"/>
        <v>20</v>
      </c>
      <c r="G103" s="13">
        <v>8945.1</v>
      </c>
      <c r="H103" s="23">
        <v>11415</v>
      </c>
      <c r="I103">
        <f t="shared" si="4"/>
        <v>11415</v>
      </c>
      <c r="J103" s="36">
        <f t="shared" si="5"/>
        <v>2469.8999999999996</v>
      </c>
    </row>
    <row r="104" spans="1:10" ht="15" thickBot="1" x14ac:dyDescent="0.35">
      <c r="A104" s="2"/>
      <c r="B104" s="7">
        <v>38955</v>
      </c>
      <c r="C104" s="20" t="s">
        <v>161</v>
      </c>
      <c r="D104" s="21">
        <v>209</v>
      </c>
      <c r="E104">
        <v>1</v>
      </c>
      <c r="F104">
        <f t="shared" si="3"/>
        <v>209</v>
      </c>
      <c r="G104" s="8">
        <v>93210.7</v>
      </c>
      <c r="H104" s="23">
        <v>118935</v>
      </c>
      <c r="I104">
        <f t="shared" si="4"/>
        <v>118935</v>
      </c>
      <c r="J104" s="36">
        <f t="shared" si="5"/>
        <v>25724.300000000003</v>
      </c>
    </row>
    <row r="105" spans="1:10" ht="15" thickBot="1" x14ac:dyDescent="0.35">
      <c r="A105" s="1" t="s">
        <v>162</v>
      </c>
      <c r="B105" s="7">
        <v>39903</v>
      </c>
      <c r="C105" s="20" t="s">
        <v>163</v>
      </c>
      <c r="D105" s="21">
        <v>20</v>
      </c>
      <c r="E105">
        <v>1</v>
      </c>
      <c r="F105">
        <f t="shared" si="3"/>
        <v>20</v>
      </c>
      <c r="G105" s="8">
        <v>10029.1</v>
      </c>
      <c r="H105" s="23">
        <v>12795</v>
      </c>
      <c r="I105">
        <f t="shared" si="4"/>
        <v>12795</v>
      </c>
      <c r="J105" s="36">
        <f t="shared" si="5"/>
        <v>2765.8999999999996</v>
      </c>
    </row>
    <row r="106" spans="1:10" ht="15" thickBot="1" x14ac:dyDescent="0.35">
      <c r="A106" s="2"/>
      <c r="B106" s="7">
        <v>38990</v>
      </c>
      <c r="C106" s="20" t="s">
        <v>164</v>
      </c>
      <c r="D106" s="21">
        <v>209</v>
      </c>
      <c r="E106">
        <v>1</v>
      </c>
      <c r="F106">
        <f t="shared" si="3"/>
        <v>209</v>
      </c>
      <c r="G106" s="8">
        <v>103617.2</v>
      </c>
      <c r="H106" s="23">
        <v>132215</v>
      </c>
      <c r="I106">
        <f t="shared" si="4"/>
        <v>132215</v>
      </c>
      <c r="J106" s="36">
        <f t="shared" si="5"/>
        <v>28597.800000000003</v>
      </c>
    </row>
    <row r="107" spans="1:10" ht="15" thickBot="1" x14ac:dyDescent="0.35">
      <c r="A107" s="1" t="s">
        <v>165</v>
      </c>
      <c r="B107" s="7">
        <v>38953</v>
      </c>
      <c r="C107" s="20" t="s">
        <v>166</v>
      </c>
      <c r="D107" s="21">
        <v>209</v>
      </c>
      <c r="E107">
        <v>1</v>
      </c>
      <c r="F107">
        <f t="shared" si="3"/>
        <v>209</v>
      </c>
      <c r="G107" s="8">
        <v>197088.9</v>
      </c>
      <c r="H107" s="23">
        <v>251485</v>
      </c>
      <c r="I107">
        <f t="shared" si="4"/>
        <v>251485</v>
      </c>
      <c r="J107" s="36">
        <f t="shared" si="5"/>
        <v>54396.100000000006</v>
      </c>
    </row>
    <row r="108" spans="1:10" ht="15" thickBot="1" x14ac:dyDescent="0.35">
      <c r="A108" s="1" t="s">
        <v>167</v>
      </c>
      <c r="B108" s="7">
        <v>12894</v>
      </c>
      <c r="C108" s="20" t="s">
        <v>168</v>
      </c>
      <c r="D108" s="21">
        <v>209</v>
      </c>
      <c r="E108">
        <v>1</v>
      </c>
      <c r="F108">
        <f t="shared" si="3"/>
        <v>209</v>
      </c>
      <c r="G108" s="8">
        <v>431788.1</v>
      </c>
      <c r="H108" s="23">
        <v>550960</v>
      </c>
      <c r="I108">
        <f t="shared" si="4"/>
        <v>550960</v>
      </c>
      <c r="J108" s="36">
        <f t="shared" si="5"/>
        <v>119171.90000000002</v>
      </c>
    </row>
    <row r="109" spans="1:10" ht="15" thickBot="1" x14ac:dyDescent="0.35">
      <c r="A109" s="1" t="s">
        <v>169</v>
      </c>
      <c r="B109" s="7">
        <v>209865</v>
      </c>
      <c r="C109" s="20" t="s">
        <v>170</v>
      </c>
      <c r="D109" s="21">
        <v>209</v>
      </c>
      <c r="E109">
        <v>1</v>
      </c>
      <c r="F109">
        <f t="shared" si="3"/>
        <v>209</v>
      </c>
      <c r="G109" s="8">
        <v>431788.1</v>
      </c>
      <c r="H109" s="23">
        <v>550960</v>
      </c>
      <c r="I109">
        <f t="shared" si="4"/>
        <v>550960</v>
      </c>
      <c r="J109" s="36">
        <f t="shared" si="5"/>
        <v>119171.90000000002</v>
      </c>
    </row>
    <row r="110" spans="1:10" ht="15" thickBot="1" x14ac:dyDescent="0.35">
      <c r="A110" s="1" t="s">
        <v>171</v>
      </c>
      <c r="B110" s="7">
        <v>12689</v>
      </c>
      <c r="C110" s="20" t="s">
        <v>172</v>
      </c>
      <c r="D110" s="21">
        <v>209</v>
      </c>
      <c r="E110">
        <v>1</v>
      </c>
      <c r="F110">
        <f t="shared" si="3"/>
        <v>209</v>
      </c>
      <c r="G110" s="8">
        <v>376854.3</v>
      </c>
      <c r="H110" s="23">
        <v>480865</v>
      </c>
      <c r="I110">
        <f t="shared" si="4"/>
        <v>480865</v>
      </c>
      <c r="J110" s="36">
        <f t="shared" si="5"/>
        <v>104010.70000000001</v>
      </c>
    </row>
    <row r="111" spans="1:10" ht="15" thickBot="1" x14ac:dyDescent="0.35">
      <c r="A111" s="1" t="s">
        <v>173</v>
      </c>
      <c r="B111" s="7">
        <v>12820</v>
      </c>
      <c r="C111" s="20" t="s">
        <v>174</v>
      </c>
      <c r="D111" s="21">
        <v>209</v>
      </c>
      <c r="E111">
        <v>1</v>
      </c>
      <c r="F111">
        <f t="shared" si="3"/>
        <v>209</v>
      </c>
      <c r="G111" s="8">
        <v>147701.79999999999</v>
      </c>
      <c r="H111" s="23">
        <v>188465</v>
      </c>
      <c r="I111">
        <f t="shared" si="4"/>
        <v>188465</v>
      </c>
      <c r="J111" s="36">
        <f t="shared" si="5"/>
        <v>40763.200000000012</v>
      </c>
    </row>
    <row r="112" spans="1:10" ht="15" thickBot="1" x14ac:dyDescent="0.35">
      <c r="A112" s="1" t="s">
        <v>175</v>
      </c>
      <c r="B112" s="7">
        <v>12788</v>
      </c>
      <c r="C112" s="20" t="s">
        <v>176</v>
      </c>
      <c r="D112" s="21">
        <v>20</v>
      </c>
      <c r="E112">
        <v>1</v>
      </c>
      <c r="F112">
        <f t="shared" si="3"/>
        <v>20</v>
      </c>
      <c r="G112" s="8">
        <v>19899.5</v>
      </c>
      <c r="H112" s="23">
        <v>25390</v>
      </c>
      <c r="I112">
        <f t="shared" si="4"/>
        <v>25390</v>
      </c>
      <c r="J112" s="36">
        <f t="shared" si="5"/>
        <v>5490.5</v>
      </c>
    </row>
    <row r="113" spans="1:10" ht="15" thickBot="1" x14ac:dyDescent="0.35">
      <c r="A113" s="1" t="s">
        <v>177</v>
      </c>
      <c r="B113" s="7">
        <v>159341</v>
      </c>
      <c r="C113" s="20" t="s">
        <v>178</v>
      </c>
      <c r="D113" s="21">
        <v>1</v>
      </c>
      <c r="E113">
        <v>12</v>
      </c>
      <c r="F113">
        <f t="shared" si="3"/>
        <v>12</v>
      </c>
      <c r="G113" s="8">
        <v>4866</v>
      </c>
      <c r="H113" s="22">
        <v>520</v>
      </c>
      <c r="I113">
        <f t="shared" si="4"/>
        <v>6240</v>
      </c>
      <c r="J113" s="36">
        <f t="shared" si="5"/>
        <v>1374</v>
      </c>
    </row>
    <row r="114" spans="1:10" ht="15" thickBot="1" x14ac:dyDescent="0.35">
      <c r="A114" s="2"/>
      <c r="B114" s="7">
        <v>159336</v>
      </c>
      <c r="C114" s="20" t="s">
        <v>179</v>
      </c>
      <c r="D114" s="21">
        <v>5</v>
      </c>
      <c r="E114">
        <v>3</v>
      </c>
      <c r="F114">
        <f t="shared" si="3"/>
        <v>15</v>
      </c>
      <c r="G114" s="8">
        <v>5670</v>
      </c>
      <c r="H114" s="23">
        <v>2435</v>
      </c>
      <c r="I114">
        <f t="shared" si="4"/>
        <v>7305</v>
      </c>
      <c r="J114" s="36">
        <f t="shared" si="5"/>
        <v>1635</v>
      </c>
    </row>
    <row r="115" spans="1:10" ht="15" thickBot="1" x14ac:dyDescent="0.35">
      <c r="A115" s="2"/>
      <c r="B115" s="7">
        <v>159335</v>
      </c>
      <c r="C115" s="20" t="s">
        <v>180</v>
      </c>
      <c r="D115" s="21">
        <v>20</v>
      </c>
      <c r="E115">
        <v>1</v>
      </c>
      <c r="F115">
        <f t="shared" si="3"/>
        <v>20</v>
      </c>
      <c r="G115" s="8">
        <v>7239.8</v>
      </c>
      <c r="H115" s="23">
        <v>9320</v>
      </c>
      <c r="I115">
        <f t="shared" si="4"/>
        <v>9320</v>
      </c>
      <c r="J115" s="36">
        <f t="shared" si="5"/>
        <v>2080.1999999999998</v>
      </c>
    </row>
    <row r="116" spans="1:10" ht="15" thickBot="1" x14ac:dyDescent="0.35">
      <c r="A116" s="2"/>
      <c r="B116" s="7">
        <v>159334</v>
      </c>
      <c r="C116" s="20" t="s">
        <v>181</v>
      </c>
      <c r="D116" s="21">
        <v>209</v>
      </c>
      <c r="E116">
        <v>1</v>
      </c>
      <c r="F116">
        <f t="shared" si="3"/>
        <v>209</v>
      </c>
      <c r="G116" s="8">
        <v>74253.5</v>
      </c>
      <c r="H116" s="23">
        <v>95610</v>
      </c>
      <c r="I116">
        <f t="shared" si="4"/>
        <v>95610</v>
      </c>
      <c r="J116" s="36">
        <f t="shared" si="5"/>
        <v>21356.5</v>
      </c>
    </row>
    <row r="117" spans="1:10" ht="15" thickBot="1" x14ac:dyDescent="0.35">
      <c r="A117" s="1" t="s">
        <v>182</v>
      </c>
      <c r="B117" s="7">
        <v>23383</v>
      </c>
      <c r="C117" s="20" t="s">
        <v>183</v>
      </c>
      <c r="D117" s="21">
        <v>1</v>
      </c>
      <c r="E117">
        <v>12</v>
      </c>
      <c r="F117">
        <f t="shared" si="3"/>
        <v>12</v>
      </c>
      <c r="G117" s="8">
        <v>5262.2</v>
      </c>
      <c r="H117" s="22">
        <v>565</v>
      </c>
      <c r="I117">
        <f t="shared" si="4"/>
        <v>6780</v>
      </c>
      <c r="J117" s="36">
        <f t="shared" si="5"/>
        <v>1517.8000000000002</v>
      </c>
    </row>
    <row r="118" spans="1:10" ht="15" thickBot="1" x14ac:dyDescent="0.35">
      <c r="A118" s="2"/>
      <c r="B118" s="7">
        <v>23378</v>
      </c>
      <c r="C118" s="20" t="s">
        <v>184</v>
      </c>
      <c r="D118" s="21">
        <v>5</v>
      </c>
      <c r="E118">
        <v>3</v>
      </c>
      <c r="F118">
        <f t="shared" si="3"/>
        <v>15</v>
      </c>
      <c r="G118" s="8">
        <v>6290.6</v>
      </c>
      <c r="H118" s="23">
        <v>2700</v>
      </c>
      <c r="I118">
        <f t="shared" si="4"/>
        <v>8100</v>
      </c>
      <c r="J118" s="36">
        <f t="shared" si="5"/>
        <v>1809.3999999999996</v>
      </c>
    </row>
    <row r="119" spans="1:10" ht="15" thickBot="1" x14ac:dyDescent="0.35">
      <c r="A119" s="2"/>
      <c r="B119" s="7">
        <v>23377</v>
      </c>
      <c r="C119" s="20" t="s">
        <v>185</v>
      </c>
      <c r="D119" s="21">
        <v>20</v>
      </c>
      <c r="E119">
        <v>1</v>
      </c>
      <c r="F119">
        <f t="shared" si="3"/>
        <v>20</v>
      </c>
      <c r="G119" s="8">
        <v>7768.2</v>
      </c>
      <c r="H119" s="23">
        <v>10000</v>
      </c>
      <c r="I119">
        <f t="shared" si="4"/>
        <v>10000</v>
      </c>
      <c r="J119" s="36">
        <f t="shared" si="5"/>
        <v>2231.8000000000002</v>
      </c>
    </row>
    <row r="120" spans="1:10" ht="15" thickBot="1" x14ac:dyDescent="0.35">
      <c r="A120" s="2"/>
      <c r="B120" s="7">
        <v>23376</v>
      </c>
      <c r="C120" s="20" t="s">
        <v>186</v>
      </c>
      <c r="D120" s="21">
        <v>209</v>
      </c>
      <c r="E120">
        <v>1</v>
      </c>
      <c r="F120">
        <f t="shared" si="3"/>
        <v>209</v>
      </c>
      <c r="G120" s="8">
        <v>80918.8</v>
      </c>
      <c r="H120" s="23">
        <v>104190</v>
      </c>
      <c r="I120">
        <f t="shared" si="4"/>
        <v>104190</v>
      </c>
      <c r="J120" s="36">
        <f t="shared" si="5"/>
        <v>23271.199999999997</v>
      </c>
    </row>
    <row r="121" spans="1:10" ht="15" thickBot="1" x14ac:dyDescent="0.35">
      <c r="A121" s="1" t="s">
        <v>187</v>
      </c>
      <c r="B121" s="7">
        <v>12879</v>
      </c>
      <c r="C121" s="20" t="s">
        <v>188</v>
      </c>
      <c r="D121" s="21">
        <v>1</v>
      </c>
      <c r="E121">
        <v>12</v>
      </c>
      <c r="F121">
        <f t="shared" si="3"/>
        <v>12</v>
      </c>
      <c r="G121" s="8">
        <v>6420.3</v>
      </c>
      <c r="H121" s="22">
        <v>695</v>
      </c>
      <c r="I121">
        <f t="shared" si="4"/>
        <v>8340</v>
      </c>
      <c r="J121" s="36">
        <f t="shared" si="5"/>
        <v>1919.6999999999998</v>
      </c>
    </row>
    <row r="122" spans="1:10" ht="15" thickBot="1" x14ac:dyDescent="0.35">
      <c r="A122" s="2"/>
      <c r="B122" s="7">
        <v>23372</v>
      </c>
      <c r="C122" s="20" t="s">
        <v>189</v>
      </c>
      <c r="D122" s="21">
        <v>5</v>
      </c>
      <c r="E122">
        <v>3</v>
      </c>
      <c r="F122">
        <f t="shared" si="3"/>
        <v>15</v>
      </c>
      <c r="G122" s="8">
        <v>7954.6</v>
      </c>
      <c r="H122" s="23">
        <v>3445</v>
      </c>
      <c r="I122">
        <f t="shared" si="4"/>
        <v>10335</v>
      </c>
      <c r="J122" s="36">
        <f t="shared" si="5"/>
        <v>2380.3999999999996</v>
      </c>
    </row>
    <row r="123" spans="1:10" ht="15" thickBot="1" x14ac:dyDescent="0.35">
      <c r="A123" s="2"/>
      <c r="B123" s="7">
        <v>23381</v>
      </c>
      <c r="C123" s="20" t="s">
        <v>190</v>
      </c>
      <c r="D123" s="21">
        <v>20</v>
      </c>
      <c r="E123">
        <v>1</v>
      </c>
      <c r="F123">
        <f t="shared" si="3"/>
        <v>20</v>
      </c>
      <c r="G123" s="8">
        <v>8945.4</v>
      </c>
      <c r="H123" s="23">
        <v>11620</v>
      </c>
      <c r="I123">
        <f t="shared" si="4"/>
        <v>11620</v>
      </c>
      <c r="J123" s="36">
        <f t="shared" si="5"/>
        <v>2674.6000000000004</v>
      </c>
    </row>
    <row r="124" spans="1:10" ht="15" thickBot="1" x14ac:dyDescent="0.35">
      <c r="A124" s="2"/>
      <c r="B124" s="7">
        <v>23380</v>
      </c>
      <c r="C124" s="24" t="s">
        <v>191</v>
      </c>
      <c r="D124" s="25">
        <v>209</v>
      </c>
      <c r="E124">
        <v>1</v>
      </c>
      <c r="F124">
        <f t="shared" si="3"/>
        <v>209</v>
      </c>
      <c r="G124" s="8">
        <v>93137.7</v>
      </c>
      <c r="H124" s="26">
        <v>121005</v>
      </c>
      <c r="I124">
        <f t="shared" si="4"/>
        <v>121005</v>
      </c>
      <c r="J124" s="36">
        <f t="shared" si="5"/>
        <v>27867.300000000003</v>
      </c>
    </row>
    <row r="125" spans="1:10" ht="15" thickBot="1" x14ac:dyDescent="0.35">
      <c r="A125" s="2"/>
      <c r="B125" s="7">
        <v>12869</v>
      </c>
      <c r="C125" s="20" t="s">
        <v>192</v>
      </c>
      <c r="D125" s="21">
        <v>1</v>
      </c>
      <c r="E125">
        <v>1</v>
      </c>
      <c r="F125">
        <f t="shared" si="3"/>
        <v>1</v>
      </c>
      <c r="G125" s="9">
        <v>427.8</v>
      </c>
      <c r="H125" s="22">
        <v>555</v>
      </c>
      <c r="I125">
        <f t="shared" si="4"/>
        <v>555</v>
      </c>
      <c r="J125" s="36">
        <f t="shared" si="5"/>
        <v>127.19999999999999</v>
      </c>
    </row>
    <row r="126" spans="1:10" ht="15" thickBot="1" x14ac:dyDescent="0.35">
      <c r="A126" s="1" t="s">
        <v>193</v>
      </c>
      <c r="B126" s="7">
        <v>108397</v>
      </c>
      <c r="C126" s="20" t="s">
        <v>194</v>
      </c>
      <c r="D126" s="21">
        <v>5</v>
      </c>
      <c r="E126">
        <v>3</v>
      </c>
      <c r="F126">
        <f t="shared" si="3"/>
        <v>15</v>
      </c>
      <c r="G126" s="8">
        <v>16509.2</v>
      </c>
      <c r="H126" s="23">
        <v>7020</v>
      </c>
      <c r="I126">
        <f t="shared" si="4"/>
        <v>21060</v>
      </c>
      <c r="J126" s="36">
        <f t="shared" si="5"/>
        <v>4550.7999999999993</v>
      </c>
    </row>
    <row r="127" spans="1:10" ht="15" thickBot="1" x14ac:dyDescent="0.35">
      <c r="A127" s="2"/>
      <c r="B127" s="7">
        <v>12793</v>
      </c>
      <c r="C127" s="20" t="s">
        <v>195</v>
      </c>
      <c r="D127" s="21">
        <v>20</v>
      </c>
      <c r="E127">
        <v>1</v>
      </c>
      <c r="F127">
        <f t="shared" si="3"/>
        <v>20</v>
      </c>
      <c r="G127" s="8">
        <v>22012.6</v>
      </c>
      <c r="H127" s="23">
        <v>28090</v>
      </c>
      <c r="I127">
        <f t="shared" si="4"/>
        <v>28090</v>
      </c>
      <c r="J127" s="36">
        <f t="shared" si="5"/>
        <v>6077.4000000000015</v>
      </c>
    </row>
    <row r="128" spans="1:10" ht="15" thickBot="1" x14ac:dyDescent="0.35">
      <c r="A128" s="2"/>
      <c r="B128" s="7">
        <v>12842</v>
      </c>
      <c r="C128" s="20" t="s">
        <v>196</v>
      </c>
      <c r="D128" s="21">
        <v>209</v>
      </c>
      <c r="E128">
        <v>1</v>
      </c>
      <c r="F128">
        <f t="shared" si="3"/>
        <v>209</v>
      </c>
      <c r="G128" s="8">
        <v>192879.3</v>
      </c>
      <c r="H128" s="23">
        <v>246115</v>
      </c>
      <c r="I128">
        <f t="shared" si="4"/>
        <v>246115</v>
      </c>
      <c r="J128" s="36">
        <f t="shared" si="5"/>
        <v>53235.700000000012</v>
      </c>
    </row>
    <row r="129" spans="1:10" ht="24.6" thickBot="1" x14ac:dyDescent="0.35">
      <c r="A129" s="1" t="s">
        <v>197</v>
      </c>
      <c r="B129" s="7">
        <v>101178</v>
      </c>
      <c r="C129" s="20" t="s">
        <v>198</v>
      </c>
      <c r="D129" s="21">
        <v>0.25</v>
      </c>
      <c r="E129">
        <v>24</v>
      </c>
      <c r="F129">
        <f t="shared" si="3"/>
        <v>6</v>
      </c>
      <c r="G129" s="8">
        <v>5650.4</v>
      </c>
      <c r="H129" s="22">
        <v>300</v>
      </c>
      <c r="I129">
        <f t="shared" si="4"/>
        <v>7200</v>
      </c>
      <c r="J129" s="36">
        <f t="shared" si="5"/>
        <v>1549.6000000000004</v>
      </c>
    </row>
    <row r="130" spans="1:10" ht="22.2" thickBot="1" x14ac:dyDescent="0.35">
      <c r="A130" s="2"/>
      <c r="B130" s="7">
        <v>101180</v>
      </c>
      <c r="C130" s="20" t="s">
        <v>199</v>
      </c>
      <c r="D130" s="21">
        <v>0.5</v>
      </c>
      <c r="E130">
        <v>24</v>
      </c>
      <c r="F130">
        <f t="shared" si="3"/>
        <v>12</v>
      </c>
      <c r="G130" s="8">
        <v>10265.9</v>
      </c>
      <c r="H130" s="22">
        <v>545</v>
      </c>
      <c r="I130">
        <f t="shared" si="4"/>
        <v>13080</v>
      </c>
      <c r="J130" s="36">
        <f t="shared" si="5"/>
        <v>2814.1000000000004</v>
      </c>
    </row>
    <row r="131" spans="1:10" ht="15" thickBot="1" x14ac:dyDescent="0.35">
      <c r="A131" s="2"/>
      <c r="B131" s="7">
        <v>101187</v>
      </c>
      <c r="C131" s="20" t="s">
        <v>200</v>
      </c>
      <c r="D131" s="21">
        <v>20</v>
      </c>
      <c r="E131">
        <v>1</v>
      </c>
      <c r="F131">
        <f t="shared" si="3"/>
        <v>20</v>
      </c>
      <c r="G131" s="8">
        <v>14418.9</v>
      </c>
      <c r="H131" s="23">
        <v>18400</v>
      </c>
      <c r="I131">
        <f t="shared" si="4"/>
        <v>18400</v>
      </c>
      <c r="J131" s="36">
        <f t="shared" si="5"/>
        <v>3981.1000000000004</v>
      </c>
    </row>
    <row r="132" spans="1:10" ht="24.6" thickBot="1" x14ac:dyDescent="0.35">
      <c r="A132" s="1" t="s">
        <v>201</v>
      </c>
      <c r="B132" s="7">
        <v>101184</v>
      </c>
      <c r="C132" s="20" t="s">
        <v>202</v>
      </c>
      <c r="D132" s="21">
        <v>1</v>
      </c>
      <c r="E132">
        <v>6</v>
      </c>
      <c r="F132">
        <f t="shared" si="3"/>
        <v>6</v>
      </c>
      <c r="G132" s="8">
        <v>3107.2</v>
      </c>
      <c r="H132" s="22">
        <v>660</v>
      </c>
      <c r="I132">
        <f t="shared" si="4"/>
        <v>3960</v>
      </c>
      <c r="J132" s="36">
        <f t="shared" si="5"/>
        <v>852.80000000000018</v>
      </c>
    </row>
    <row r="133" spans="1:10" ht="22.2" thickBot="1" x14ac:dyDescent="0.35">
      <c r="A133" s="2"/>
      <c r="B133" s="7">
        <v>101164</v>
      </c>
      <c r="C133" s="20" t="s">
        <v>203</v>
      </c>
      <c r="D133" s="21">
        <v>5</v>
      </c>
      <c r="E133">
        <v>3</v>
      </c>
      <c r="F133">
        <f t="shared" si="3"/>
        <v>15</v>
      </c>
      <c r="G133" s="8">
        <v>7301.8</v>
      </c>
      <c r="H133" s="23">
        <v>3105</v>
      </c>
      <c r="I133">
        <f t="shared" si="4"/>
        <v>9315</v>
      </c>
      <c r="J133" s="36">
        <f t="shared" si="5"/>
        <v>2013.1999999999998</v>
      </c>
    </row>
    <row r="134" spans="1:10" ht="22.2" thickBot="1" x14ac:dyDescent="0.35">
      <c r="A134" s="2"/>
      <c r="B134" s="7">
        <v>101160</v>
      </c>
      <c r="C134" s="20" t="s">
        <v>204</v>
      </c>
      <c r="D134" s="21">
        <v>20</v>
      </c>
      <c r="E134">
        <v>1</v>
      </c>
      <c r="F134">
        <f t="shared" ref="F134:F189" si="6">SUM(E134*D134)</f>
        <v>20</v>
      </c>
      <c r="G134" s="8">
        <v>9581.1</v>
      </c>
      <c r="H134" s="23">
        <v>12225</v>
      </c>
      <c r="I134">
        <f t="shared" ref="I134:I189" si="7">SUM(H134*E134)</f>
        <v>12225</v>
      </c>
      <c r="J134" s="36">
        <f t="shared" ref="J134:J193" si="8">SUM(I134-G134)</f>
        <v>2643.8999999999996</v>
      </c>
    </row>
    <row r="135" spans="1:10" ht="22.2" thickBot="1" x14ac:dyDescent="0.35">
      <c r="A135" s="2"/>
      <c r="B135" s="7">
        <v>101190</v>
      </c>
      <c r="C135" s="20" t="s">
        <v>205</v>
      </c>
      <c r="D135" s="21">
        <v>205</v>
      </c>
      <c r="E135">
        <v>1</v>
      </c>
      <c r="F135">
        <f t="shared" si="6"/>
        <v>205</v>
      </c>
      <c r="G135" s="8">
        <v>88124.5</v>
      </c>
      <c r="H135" s="23">
        <v>112445</v>
      </c>
      <c r="I135">
        <f t="shared" si="7"/>
        <v>112445</v>
      </c>
      <c r="J135" s="36">
        <f t="shared" si="8"/>
        <v>24320.5</v>
      </c>
    </row>
    <row r="136" spans="1:10" ht="15" thickBot="1" x14ac:dyDescent="0.35">
      <c r="A136" s="1" t="s">
        <v>206</v>
      </c>
      <c r="B136" s="7">
        <v>12838</v>
      </c>
      <c r="C136" s="20" t="s">
        <v>207</v>
      </c>
      <c r="D136" s="21">
        <v>0.5</v>
      </c>
      <c r="E136">
        <v>24</v>
      </c>
      <c r="F136">
        <f t="shared" si="6"/>
        <v>12</v>
      </c>
      <c r="G136" s="8">
        <v>6304.2</v>
      </c>
      <c r="H136" s="22">
        <v>335</v>
      </c>
      <c r="I136">
        <f t="shared" si="7"/>
        <v>8040</v>
      </c>
      <c r="J136" s="36">
        <f t="shared" si="8"/>
        <v>1735.8000000000002</v>
      </c>
    </row>
    <row r="137" spans="1:10" ht="15" thickBot="1" x14ac:dyDescent="0.35">
      <c r="A137" s="2"/>
      <c r="B137" s="7">
        <v>23337</v>
      </c>
      <c r="C137" s="20" t="s">
        <v>208</v>
      </c>
      <c r="D137" s="21">
        <v>1</v>
      </c>
      <c r="E137">
        <v>12</v>
      </c>
      <c r="F137">
        <f t="shared" si="6"/>
        <v>12</v>
      </c>
      <c r="G137" s="8">
        <v>6007.5</v>
      </c>
      <c r="H137" s="22">
        <v>640</v>
      </c>
      <c r="I137">
        <f t="shared" si="7"/>
        <v>7680</v>
      </c>
      <c r="J137" s="36">
        <f t="shared" si="8"/>
        <v>1672.5</v>
      </c>
    </row>
    <row r="138" spans="1:10" ht="15" thickBot="1" x14ac:dyDescent="0.35">
      <c r="A138" s="2"/>
      <c r="B138" s="7">
        <v>23339</v>
      </c>
      <c r="C138" s="20" t="s">
        <v>209</v>
      </c>
      <c r="D138" s="21">
        <v>4</v>
      </c>
      <c r="E138">
        <v>4</v>
      </c>
      <c r="F138">
        <f t="shared" si="6"/>
        <v>16</v>
      </c>
      <c r="G138" s="8">
        <v>7824.9</v>
      </c>
      <c r="H138" s="23">
        <v>2495</v>
      </c>
      <c r="I138">
        <f t="shared" si="7"/>
        <v>9980</v>
      </c>
      <c r="J138" s="36">
        <f t="shared" si="8"/>
        <v>2155.1000000000004</v>
      </c>
    </row>
    <row r="139" spans="1:10" ht="15" thickBot="1" x14ac:dyDescent="0.35">
      <c r="A139" s="2"/>
      <c r="B139" s="7">
        <v>12775</v>
      </c>
      <c r="C139" s="20" t="s">
        <v>210</v>
      </c>
      <c r="D139" s="21">
        <v>20</v>
      </c>
      <c r="E139">
        <v>1</v>
      </c>
      <c r="F139">
        <f t="shared" si="6"/>
        <v>20</v>
      </c>
      <c r="G139" s="8">
        <v>9364.4</v>
      </c>
      <c r="H139" s="23">
        <v>11950</v>
      </c>
      <c r="I139">
        <f t="shared" si="7"/>
        <v>11950</v>
      </c>
      <c r="J139" s="36">
        <f t="shared" si="8"/>
        <v>2585.6000000000004</v>
      </c>
    </row>
    <row r="140" spans="1:10" ht="15" thickBot="1" x14ac:dyDescent="0.35">
      <c r="A140" s="2"/>
      <c r="B140" s="7">
        <v>23342</v>
      </c>
      <c r="C140" s="20" t="s">
        <v>211</v>
      </c>
      <c r="D140" s="21">
        <v>209</v>
      </c>
      <c r="E140">
        <v>1</v>
      </c>
      <c r="F140">
        <f t="shared" si="6"/>
        <v>209</v>
      </c>
      <c r="G140" s="8">
        <v>96891.3</v>
      </c>
      <c r="H140" s="23">
        <v>123635</v>
      </c>
      <c r="I140">
        <f t="shared" si="7"/>
        <v>123635</v>
      </c>
      <c r="J140" s="36">
        <f t="shared" si="8"/>
        <v>26743.699999999997</v>
      </c>
    </row>
    <row r="141" spans="1:10" ht="15" thickBot="1" x14ac:dyDescent="0.35">
      <c r="A141" s="1" t="s">
        <v>212</v>
      </c>
      <c r="B141" s="7">
        <v>12891</v>
      </c>
      <c r="C141" s="20" t="s">
        <v>213</v>
      </c>
      <c r="D141" s="21">
        <v>4</v>
      </c>
      <c r="E141">
        <v>4</v>
      </c>
      <c r="F141">
        <f t="shared" si="6"/>
        <v>16</v>
      </c>
      <c r="G141" s="8">
        <v>7439.4</v>
      </c>
      <c r="H141" s="23">
        <v>2375</v>
      </c>
      <c r="I141">
        <f t="shared" si="7"/>
        <v>9500</v>
      </c>
      <c r="J141" s="36">
        <f t="shared" si="8"/>
        <v>2060.6000000000004</v>
      </c>
    </row>
    <row r="142" spans="1:10" ht="15" thickBot="1" x14ac:dyDescent="0.35">
      <c r="A142" s="2"/>
      <c r="B142" s="7">
        <v>12691</v>
      </c>
      <c r="C142" s="20" t="s">
        <v>214</v>
      </c>
      <c r="D142" s="21">
        <v>20</v>
      </c>
      <c r="E142">
        <v>1</v>
      </c>
      <c r="F142">
        <f t="shared" si="6"/>
        <v>20</v>
      </c>
      <c r="G142" s="8">
        <v>9042.5</v>
      </c>
      <c r="H142" s="23">
        <v>11540</v>
      </c>
      <c r="I142">
        <f t="shared" si="7"/>
        <v>11540</v>
      </c>
      <c r="J142" s="36">
        <f t="shared" si="8"/>
        <v>2497.5</v>
      </c>
    </row>
    <row r="143" spans="1:10" ht="15" thickBot="1" x14ac:dyDescent="0.35">
      <c r="A143" s="2"/>
      <c r="B143" s="7">
        <v>23298</v>
      </c>
      <c r="C143" s="20" t="s">
        <v>215</v>
      </c>
      <c r="D143" s="21">
        <v>209</v>
      </c>
      <c r="E143">
        <v>1</v>
      </c>
      <c r="F143">
        <f t="shared" si="6"/>
        <v>209</v>
      </c>
      <c r="G143" s="8">
        <v>90883.3</v>
      </c>
      <c r="H143" s="23">
        <v>115965</v>
      </c>
      <c r="I143">
        <f t="shared" si="7"/>
        <v>115965</v>
      </c>
      <c r="J143" s="36">
        <f t="shared" si="8"/>
        <v>25081.699999999997</v>
      </c>
    </row>
    <row r="144" spans="1:10" ht="15" thickBot="1" x14ac:dyDescent="0.35">
      <c r="A144" s="1" t="s">
        <v>216</v>
      </c>
      <c r="B144" s="7">
        <v>12768</v>
      </c>
      <c r="C144" s="20" t="s">
        <v>217</v>
      </c>
      <c r="D144" s="21">
        <v>4</v>
      </c>
      <c r="E144">
        <v>4</v>
      </c>
      <c r="F144">
        <f t="shared" si="6"/>
        <v>16</v>
      </c>
      <c r="G144" s="8">
        <v>7468.2</v>
      </c>
      <c r="H144" s="23">
        <v>2380</v>
      </c>
      <c r="I144">
        <f t="shared" si="7"/>
        <v>9520</v>
      </c>
      <c r="J144" s="36">
        <f t="shared" si="8"/>
        <v>2051.8000000000002</v>
      </c>
    </row>
    <row r="145" spans="1:10" ht="15" thickBot="1" x14ac:dyDescent="0.35">
      <c r="A145" s="2"/>
      <c r="B145" s="7">
        <v>23318</v>
      </c>
      <c r="C145" s="20" t="s">
        <v>218</v>
      </c>
      <c r="D145" s="21">
        <v>20</v>
      </c>
      <c r="E145">
        <v>1</v>
      </c>
      <c r="F145">
        <f t="shared" si="6"/>
        <v>20</v>
      </c>
      <c r="G145" s="8">
        <v>9135.2000000000007</v>
      </c>
      <c r="H145" s="23">
        <v>11655</v>
      </c>
      <c r="I145">
        <f t="shared" si="7"/>
        <v>11655</v>
      </c>
      <c r="J145" s="36">
        <f t="shared" si="8"/>
        <v>2519.7999999999993</v>
      </c>
    </row>
    <row r="146" spans="1:10" ht="15" thickBot="1" x14ac:dyDescent="0.35">
      <c r="A146" s="2"/>
      <c r="B146" s="7">
        <v>23299</v>
      </c>
      <c r="C146" s="20" t="s">
        <v>219</v>
      </c>
      <c r="D146" s="21">
        <v>209</v>
      </c>
      <c r="E146">
        <v>1</v>
      </c>
      <c r="F146">
        <f t="shared" si="6"/>
        <v>209</v>
      </c>
      <c r="G146" s="8">
        <v>93377.1</v>
      </c>
      <c r="H146" s="23">
        <v>119150</v>
      </c>
      <c r="I146">
        <f t="shared" si="7"/>
        <v>119150</v>
      </c>
      <c r="J146" s="36">
        <f t="shared" si="8"/>
        <v>25772.899999999994</v>
      </c>
    </row>
    <row r="147" spans="1:10" ht="15" thickBot="1" x14ac:dyDescent="0.35">
      <c r="A147" s="1" t="s">
        <v>220</v>
      </c>
      <c r="B147" s="7">
        <v>12813</v>
      </c>
      <c r="C147" s="20" t="s">
        <v>221</v>
      </c>
      <c r="D147" s="21">
        <v>1</v>
      </c>
      <c r="E147">
        <v>12</v>
      </c>
      <c r="F147">
        <f t="shared" si="6"/>
        <v>12</v>
      </c>
      <c r="G147" s="8">
        <v>7127.3</v>
      </c>
      <c r="H147" s="22">
        <v>760</v>
      </c>
      <c r="I147">
        <f t="shared" si="7"/>
        <v>9120</v>
      </c>
      <c r="J147" s="36">
        <f t="shared" si="8"/>
        <v>1992.6999999999998</v>
      </c>
    </row>
    <row r="148" spans="1:10" ht="15" thickBot="1" x14ac:dyDescent="0.35">
      <c r="A148" s="2"/>
      <c r="B148" s="7">
        <v>12814</v>
      </c>
      <c r="C148" s="20" t="s">
        <v>222</v>
      </c>
      <c r="D148" s="21">
        <v>5</v>
      </c>
      <c r="E148">
        <v>3</v>
      </c>
      <c r="F148">
        <f t="shared" si="6"/>
        <v>15</v>
      </c>
      <c r="G148" s="8">
        <v>8756.2000000000007</v>
      </c>
      <c r="H148" s="23">
        <v>3725</v>
      </c>
      <c r="I148">
        <f t="shared" si="7"/>
        <v>11175</v>
      </c>
      <c r="J148" s="36">
        <f t="shared" si="8"/>
        <v>2418.7999999999993</v>
      </c>
    </row>
    <row r="149" spans="1:10" ht="15" thickBot="1" x14ac:dyDescent="0.35">
      <c r="A149" s="2"/>
      <c r="B149" s="7">
        <v>23361</v>
      </c>
      <c r="C149" s="20" t="s">
        <v>223</v>
      </c>
      <c r="D149" s="21">
        <v>20</v>
      </c>
      <c r="E149">
        <v>1</v>
      </c>
      <c r="F149">
        <f t="shared" si="6"/>
        <v>20</v>
      </c>
      <c r="G149" s="8">
        <v>11470.9</v>
      </c>
      <c r="H149" s="23">
        <v>14635</v>
      </c>
      <c r="I149">
        <f t="shared" si="7"/>
        <v>14635</v>
      </c>
      <c r="J149" s="36">
        <f t="shared" si="8"/>
        <v>3164.1000000000004</v>
      </c>
    </row>
    <row r="150" spans="1:10" ht="15" thickBot="1" x14ac:dyDescent="0.35">
      <c r="A150" s="1" t="s">
        <v>224</v>
      </c>
      <c r="B150" s="7">
        <v>12696</v>
      </c>
      <c r="C150" s="20" t="s">
        <v>225</v>
      </c>
      <c r="D150" s="21">
        <v>20</v>
      </c>
      <c r="E150">
        <v>1</v>
      </c>
      <c r="F150">
        <f t="shared" si="6"/>
        <v>20</v>
      </c>
      <c r="G150" s="8">
        <v>8743.6</v>
      </c>
      <c r="H150" s="23">
        <v>11155</v>
      </c>
      <c r="I150">
        <f t="shared" si="7"/>
        <v>11155</v>
      </c>
      <c r="J150" s="36">
        <f t="shared" si="8"/>
        <v>2411.3999999999996</v>
      </c>
    </row>
    <row r="151" spans="1:10" ht="15" thickBot="1" x14ac:dyDescent="0.35">
      <c r="A151" s="2"/>
      <c r="B151" s="7">
        <v>23301</v>
      </c>
      <c r="C151" s="20" t="s">
        <v>226</v>
      </c>
      <c r="D151" s="21">
        <v>209</v>
      </c>
      <c r="E151">
        <v>1</v>
      </c>
      <c r="F151">
        <f t="shared" si="6"/>
        <v>209</v>
      </c>
      <c r="G151" s="8">
        <v>87863.4</v>
      </c>
      <c r="H151" s="23">
        <v>112115</v>
      </c>
      <c r="I151">
        <f t="shared" si="7"/>
        <v>112115</v>
      </c>
      <c r="J151" s="36">
        <f t="shared" si="8"/>
        <v>24251.600000000006</v>
      </c>
    </row>
    <row r="152" spans="1:10" ht="15" thickBot="1" x14ac:dyDescent="0.35">
      <c r="A152" s="1" t="s">
        <v>227</v>
      </c>
      <c r="B152" s="7">
        <v>12892</v>
      </c>
      <c r="C152" s="20" t="s">
        <v>228</v>
      </c>
      <c r="D152" s="21">
        <v>0.5</v>
      </c>
      <c r="E152">
        <v>24</v>
      </c>
      <c r="F152">
        <f t="shared" si="6"/>
        <v>12</v>
      </c>
      <c r="G152" s="8">
        <v>5723.8</v>
      </c>
      <c r="H152" s="22">
        <v>305</v>
      </c>
      <c r="I152">
        <f t="shared" si="7"/>
        <v>7320</v>
      </c>
      <c r="J152" s="36">
        <f t="shared" si="8"/>
        <v>1596.1999999999998</v>
      </c>
    </row>
    <row r="153" spans="1:10" ht="15" thickBot="1" x14ac:dyDescent="0.35">
      <c r="A153" s="2"/>
      <c r="B153" s="7">
        <v>23345</v>
      </c>
      <c r="C153" s="20" t="s">
        <v>229</v>
      </c>
      <c r="D153" s="21">
        <v>4</v>
      </c>
      <c r="E153">
        <v>4</v>
      </c>
      <c r="F153">
        <f t="shared" si="6"/>
        <v>16</v>
      </c>
      <c r="G153" s="8">
        <v>7601.2</v>
      </c>
      <c r="H153" s="23">
        <v>2425</v>
      </c>
      <c r="I153">
        <f t="shared" si="7"/>
        <v>9700</v>
      </c>
      <c r="J153" s="36">
        <f t="shared" si="8"/>
        <v>2098.8000000000002</v>
      </c>
    </row>
    <row r="154" spans="1:10" ht="15" thickBot="1" x14ac:dyDescent="0.35">
      <c r="A154" s="2"/>
      <c r="B154" s="7">
        <v>23341</v>
      </c>
      <c r="C154" s="20" t="s">
        <v>230</v>
      </c>
      <c r="D154" s="21">
        <v>20</v>
      </c>
      <c r="E154">
        <v>1</v>
      </c>
      <c r="F154">
        <f t="shared" si="6"/>
        <v>20</v>
      </c>
      <c r="G154" s="8">
        <v>8862.6</v>
      </c>
      <c r="H154" s="23">
        <v>11310</v>
      </c>
      <c r="I154">
        <f t="shared" si="7"/>
        <v>11310</v>
      </c>
      <c r="J154" s="36">
        <f t="shared" si="8"/>
        <v>2447.3999999999996</v>
      </c>
    </row>
    <row r="155" spans="1:10" ht="15" thickBot="1" x14ac:dyDescent="0.35">
      <c r="A155" s="2"/>
      <c r="B155" s="7">
        <v>23343</v>
      </c>
      <c r="C155" s="20" t="s">
        <v>231</v>
      </c>
      <c r="D155" s="21">
        <v>209</v>
      </c>
      <c r="E155">
        <v>1</v>
      </c>
      <c r="F155">
        <f t="shared" si="6"/>
        <v>209</v>
      </c>
      <c r="G155" s="8">
        <v>89015</v>
      </c>
      <c r="H155" s="23">
        <v>113585</v>
      </c>
      <c r="I155">
        <f t="shared" si="7"/>
        <v>113585</v>
      </c>
      <c r="J155" s="36">
        <f t="shared" si="8"/>
        <v>24570</v>
      </c>
    </row>
    <row r="156" spans="1:10" ht="15" thickBot="1" x14ac:dyDescent="0.35">
      <c r="A156" s="1" t="s">
        <v>232</v>
      </c>
      <c r="B156" s="7">
        <v>12893</v>
      </c>
      <c r="C156" s="20" t="s">
        <v>233</v>
      </c>
      <c r="D156" s="21">
        <v>0.5</v>
      </c>
      <c r="E156">
        <v>24</v>
      </c>
      <c r="F156">
        <f t="shared" si="6"/>
        <v>12</v>
      </c>
      <c r="G156" s="8">
        <v>5763.1</v>
      </c>
      <c r="H156" s="22">
        <v>305</v>
      </c>
      <c r="I156">
        <f t="shared" si="7"/>
        <v>7320</v>
      </c>
      <c r="J156" s="36">
        <f t="shared" si="8"/>
        <v>1556.8999999999996</v>
      </c>
    </row>
    <row r="157" spans="1:10" ht="15" thickBot="1" x14ac:dyDescent="0.35">
      <c r="A157" s="2"/>
      <c r="B157" s="7">
        <v>12780</v>
      </c>
      <c r="C157" s="20" t="s">
        <v>234</v>
      </c>
      <c r="D157" s="21">
        <v>4</v>
      </c>
      <c r="E157">
        <v>4</v>
      </c>
      <c r="F157">
        <f t="shared" si="6"/>
        <v>16</v>
      </c>
      <c r="G157" s="8">
        <v>7516.6</v>
      </c>
      <c r="H157" s="23">
        <v>2400</v>
      </c>
      <c r="I157">
        <f t="shared" si="7"/>
        <v>9600</v>
      </c>
      <c r="J157" s="36">
        <f t="shared" si="8"/>
        <v>2083.3999999999996</v>
      </c>
    </row>
    <row r="158" spans="1:10" ht="15" thickBot="1" x14ac:dyDescent="0.35">
      <c r="A158" s="2"/>
      <c r="B158" s="7">
        <v>12771</v>
      </c>
      <c r="C158" s="20" t="s">
        <v>235</v>
      </c>
      <c r="D158" s="21">
        <v>20</v>
      </c>
      <c r="E158">
        <v>1</v>
      </c>
      <c r="F158">
        <f t="shared" si="6"/>
        <v>20</v>
      </c>
      <c r="G158" s="8">
        <v>9092.4</v>
      </c>
      <c r="H158" s="23">
        <v>11600</v>
      </c>
      <c r="I158">
        <f t="shared" si="7"/>
        <v>11600</v>
      </c>
      <c r="J158" s="36">
        <f t="shared" si="8"/>
        <v>2507.6000000000004</v>
      </c>
    </row>
    <row r="159" spans="1:10" ht="15" thickBot="1" x14ac:dyDescent="0.35">
      <c r="A159" s="2"/>
      <c r="B159" s="7">
        <v>12770</v>
      </c>
      <c r="C159" s="20" t="s">
        <v>236</v>
      </c>
      <c r="D159" s="21">
        <v>209</v>
      </c>
      <c r="E159">
        <v>1</v>
      </c>
      <c r="F159">
        <f t="shared" si="6"/>
        <v>209</v>
      </c>
      <c r="G159" s="8">
        <v>94492.2</v>
      </c>
      <c r="H159" s="23">
        <v>120570</v>
      </c>
      <c r="I159">
        <f t="shared" si="7"/>
        <v>120570</v>
      </c>
      <c r="J159" s="36">
        <f t="shared" si="8"/>
        <v>26077.800000000003</v>
      </c>
    </row>
    <row r="160" spans="1:10" ht="15" thickBot="1" x14ac:dyDescent="0.35">
      <c r="A160" s="1" t="s">
        <v>237</v>
      </c>
      <c r="B160" s="7">
        <v>23319</v>
      </c>
      <c r="C160" s="20" t="s">
        <v>238</v>
      </c>
      <c r="D160" s="21">
        <v>20</v>
      </c>
      <c r="E160">
        <v>1</v>
      </c>
      <c r="F160">
        <f t="shared" si="6"/>
        <v>20</v>
      </c>
      <c r="G160" s="8">
        <v>9373.9</v>
      </c>
      <c r="H160" s="23">
        <v>11960</v>
      </c>
      <c r="I160">
        <f t="shared" si="7"/>
        <v>11960</v>
      </c>
      <c r="J160" s="36">
        <f t="shared" si="8"/>
        <v>2586.1000000000004</v>
      </c>
    </row>
    <row r="161" spans="1:10" ht="15" thickBot="1" x14ac:dyDescent="0.35">
      <c r="A161" s="2"/>
      <c r="B161" s="7">
        <v>23302</v>
      </c>
      <c r="C161" s="20" t="s">
        <v>239</v>
      </c>
      <c r="D161" s="21">
        <v>209</v>
      </c>
      <c r="E161">
        <v>1</v>
      </c>
      <c r="F161">
        <f t="shared" si="6"/>
        <v>209</v>
      </c>
      <c r="G161" s="8">
        <v>95056.9</v>
      </c>
      <c r="H161" s="23">
        <v>121295</v>
      </c>
      <c r="I161">
        <f t="shared" si="7"/>
        <v>121295</v>
      </c>
      <c r="J161" s="36">
        <f t="shared" si="8"/>
        <v>26238.100000000006</v>
      </c>
    </row>
    <row r="162" spans="1:10" ht="15" thickBot="1" x14ac:dyDescent="0.35">
      <c r="A162" s="1" t="s">
        <v>240</v>
      </c>
      <c r="B162" s="7">
        <v>23328</v>
      </c>
      <c r="C162" s="20" t="s">
        <v>241</v>
      </c>
      <c r="D162" s="21">
        <v>209</v>
      </c>
      <c r="E162">
        <v>1</v>
      </c>
      <c r="F162">
        <f t="shared" si="6"/>
        <v>209</v>
      </c>
      <c r="G162" s="8">
        <v>87684.7</v>
      </c>
      <c r="H162" s="23">
        <v>111885</v>
      </c>
      <c r="I162">
        <f t="shared" si="7"/>
        <v>111885</v>
      </c>
      <c r="J162" s="36">
        <f t="shared" si="8"/>
        <v>24200.300000000003</v>
      </c>
    </row>
    <row r="163" spans="1:10" ht="15" thickBot="1" x14ac:dyDescent="0.35">
      <c r="A163" s="1" t="s">
        <v>242</v>
      </c>
      <c r="B163" s="7">
        <v>12760</v>
      </c>
      <c r="C163" s="20" t="s">
        <v>243</v>
      </c>
      <c r="D163" s="21">
        <v>20</v>
      </c>
      <c r="E163">
        <v>1</v>
      </c>
      <c r="F163">
        <f t="shared" si="6"/>
        <v>20</v>
      </c>
      <c r="G163" s="8">
        <v>9007.4</v>
      </c>
      <c r="H163" s="23">
        <v>11495</v>
      </c>
      <c r="I163">
        <f t="shared" si="7"/>
        <v>11495</v>
      </c>
      <c r="J163" s="36">
        <f t="shared" si="8"/>
        <v>2487.6000000000004</v>
      </c>
    </row>
    <row r="164" spans="1:10" ht="15" thickBot="1" x14ac:dyDescent="0.35">
      <c r="A164" s="2"/>
      <c r="B164" s="7">
        <v>23309</v>
      </c>
      <c r="C164" s="20" t="s">
        <v>244</v>
      </c>
      <c r="D164" s="21">
        <v>209</v>
      </c>
      <c r="E164">
        <v>1</v>
      </c>
      <c r="F164">
        <f t="shared" si="6"/>
        <v>209</v>
      </c>
      <c r="G164" s="8">
        <v>89932.3</v>
      </c>
      <c r="H164" s="23">
        <v>114755</v>
      </c>
      <c r="I164">
        <f t="shared" si="7"/>
        <v>114755</v>
      </c>
      <c r="J164" s="36">
        <f t="shared" si="8"/>
        <v>24822.699999999997</v>
      </c>
    </row>
    <row r="165" spans="1:10" ht="15" thickBot="1" x14ac:dyDescent="0.35">
      <c r="A165" s="1" t="s">
        <v>245</v>
      </c>
      <c r="B165" s="7">
        <v>23310</v>
      </c>
      <c r="C165" s="20" t="s">
        <v>246</v>
      </c>
      <c r="D165" s="21">
        <v>209</v>
      </c>
      <c r="E165">
        <v>1</v>
      </c>
      <c r="F165">
        <f t="shared" si="6"/>
        <v>209</v>
      </c>
      <c r="G165" s="8">
        <v>93007</v>
      </c>
      <c r="H165" s="23">
        <v>118675</v>
      </c>
      <c r="I165">
        <f t="shared" si="7"/>
        <v>118675</v>
      </c>
      <c r="J165" s="36">
        <f t="shared" si="8"/>
        <v>25668</v>
      </c>
    </row>
    <row r="166" spans="1:10" ht="15" thickBot="1" x14ac:dyDescent="0.35">
      <c r="A166" s="1" t="s">
        <v>247</v>
      </c>
      <c r="B166" s="7">
        <v>12710</v>
      </c>
      <c r="C166" s="20" t="s">
        <v>248</v>
      </c>
      <c r="D166" s="21">
        <v>20</v>
      </c>
      <c r="E166">
        <v>1</v>
      </c>
      <c r="F166">
        <f t="shared" si="6"/>
        <v>20</v>
      </c>
      <c r="G166" s="8">
        <v>9753.7000000000007</v>
      </c>
      <c r="H166" s="23">
        <v>12445</v>
      </c>
      <c r="I166">
        <f t="shared" si="7"/>
        <v>12445</v>
      </c>
      <c r="J166" s="36">
        <f t="shared" si="8"/>
        <v>2691.2999999999993</v>
      </c>
    </row>
    <row r="167" spans="1:10" ht="15" thickBot="1" x14ac:dyDescent="0.35">
      <c r="A167" s="2"/>
      <c r="B167" s="7">
        <v>23311</v>
      </c>
      <c r="C167" s="20" t="s">
        <v>249</v>
      </c>
      <c r="D167" s="21">
        <v>209</v>
      </c>
      <c r="E167">
        <v>1</v>
      </c>
      <c r="F167">
        <f t="shared" si="6"/>
        <v>209</v>
      </c>
      <c r="G167" s="8">
        <v>99180.5</v>
      </c>
      <c r="H167" s="23">
        <v>126555</v>
      </c>
      <c r="I167">
        <f t="shared" si="7"/>
        <v>126555</v>
      </c>
      <c r="J167" s="36">
        <f t="shared" si="8"/>
        <v>27374.5</v>
      </c>
    </row>
    <row r="168" spans="1:10" ht="15" thickBot="1" x14ac:dyDescent="0.35">
      <c r="A168" s="1" t="s">
        <v>250</v>
      </c>
      <c r="B168" s="7">
        <v>12840</v>
      </c>
      <c r="C168" s="20" t="s">
        <v>251</v>
      </c>
      <c r="D168" s="21">
        <v>1</v>
      </c>
      <c r="E168">
        <v>12</v>
      </c>
      <c r="F168">
        <f t="shared" si="6"/>
        <v>12</v>
      </c>
      <c r="G168" s="8">
        <v>18799</v>
      </c>
      <c r="H168" s="23">
        <v>2000</v>
      </c>
      <c r="I168">
        <f t="shared" si="7"/>
        <v>24000</v>
      </c>
      <c r="J168" s="36">
        <f t="shared" si="8"/>
        <v>5201</v>
      </c>
    </row>
    <row r="169" spans="1:10" ht="15" thickBot="1" x14ac:dyDescent="0.35">
      <c r="A169" s="1" t="s">
        <v>250</v>
      </c>
      <c r="B169" s="7">
        <v>12841</v>
      </c>
      <c r="C169" s="20" t="s">
        <v>252</v>
      </c>
      <c r="D169" s="21">
        <v>20</v>
      </c>
      <c r="E169">
        <v>1</v>
      </c>
      <c r="F169">
        <f t="shared" si="6"/>
        <v>20</v>
      </c>
      <c r="G169" s="8">
        <v>27959.9</v>
      </c>
      <c r="H169" s="23">
        <v>35675</v>
      </c>
      <c r="I169">
        <f t="shared" si="7"/>
        <v>35675</v>
      </c>
      <c r="J169" s="36">
        <f t="shared" si="8"/>
        <v>7715.0999999999985</v>
      </c>
    </row>
    <row r="170" spans="1:10" ht="15" thickBot="1" x14ac:dyDescent="0.35">
      <c r="A170" s="1" t="s">
        <v>253</v>
      </c>
      <c r="B170" s="7">
        <v>135515</v>
      </c>
      <c r="C170" s="20" t="s">
        <v>254</v>
      </c>
      <c r="D170" s="21">
        <v>1</v>
      </c>
      <c r="E170">
        <v>12</v>
      </c>
      <c r="F170">
        <f t="shared" si="6"/>
        <v>12</v>
      </c>
      <c r="G170" s="8">
        <v>16254.3</v>
      </c>
      <c r="H170" s="23">
        <v>1730</v>
      </c>
      <c r="I170">
        <f t="shared" si="7"/>
        <v>20760</v>
      </c>
      <c r="J170" s="36">
        <f t="shared" si="8"/>
        <v>4505.7000000000007</v>
      </c>
    </row>
    <row r="171" spans="1:10" ht="15" thickBot="1" x14ac:dyDescent="0.35">
      <c r="A171" s="1" t="s">
        <v>255</v>
      </c>
      <c r="B171" s="7">
        <v>12762</v>
      </c>
      <c r="C171" s="20" t="s">
        <v>256</v>
      </c>
      <c r="D171" s="21">
        <v>20</v>
      </c>
      <c r="E171">
        <v>1</v>
      </c>
      <c r="F171">
        <f t="shared" si="6"/>
        <v>20</v>
      </c>
      <c r="G171" s="8">
        <v>39274.6</v>
      </c>
      <c r="H171" s="23">
        <v>50115</v>
      </c>
      <c r="I171">
        <f t="shared" si="7"/>
        <v>50115</v>
      </c>
      <c r="J171" s="36">
        <f t="shared" si="8"/>
        <v>10840.400000000001</v>
      </c>
    </row>
    <row r="172" spans="1:10" ht="15" thickBot="1" x14ac:dyDescent="0.35">
      <c r="A172" s="1" t="s">
        <v>257</v>
      </c>
      <c r="B172" s="7">
        <v>12799</v>
      </c>
      <c r="C172" s="20" t="s">
        <v>257</v>
      </c>
      <c r="D172" s="21">
        <v>20</v>
      </c>
      <c r="E172">
        <v>1</v>
      </c>
      <c r="F172">
        <f t="shared" si="6"/>
        <v>20</v>
      </c>
      <c r="G172" s="8">
        <v>39274.6</v>
      </c>
      <c r="H172" s="23">
        <v>50115</v>
      </c>
      <c r="I172">
        <f t="shared" si="7"/>
        <v>50115</v>
      </c>
      <c r="J172" s="36">
        <f t="shared" si="8"/>
        <v>10840.400000000001</v>
      </c>
    </row>
    <row r="173" spans="1:10" ht="15" thickBot="1" x14ac:dyDescent="0.35">
      <c r="A173" s="1" t="s">
        <v>258</v>
      </c>
      <c r="B173" s="7">
        <v>12839</v>
      </c>
      <c r="C173" s="20" t="s">
        <v>259</v>
      </c>
      <c r="D173" s="21">
        <v>5</v>
      </c>
      <c r="E173">
        <v>3</v>
      </c>
      <c r="F173">
        <f t="shared" si="6"/>
        <v>15</v>
      </c>
      <c r="G173" s="8">
        <v>5661.6</v>
      </c>
      <c r="H173" s="23">
        <v>2410</v>
      </c>
      <c r="I173">
        <f t="shared" si="7"/>
        <v>7230</v>
      </c>
      <c r="J173" s="36">
        <f t="shared" si="8"/>
        <v>1568.3999999999996</v>
      </c>
    </row>
    <row r="174" spans="1:10" ht="15" thickBot="1" x14ac:dyDescent="0.35">
      <c r="A174" s="2"/>
      <c r="B174" s="7">
        <v>23320</v>
      </c>
      <c r="C174" s="20" t="s">
        <v>260</v>
      </c>
      <c r="D174" s="21">
        <v>20</v>
      </c>
      <c r="E174">
        <v>1</v>
      </c>
      <c r="F174">
        <f t="shared" si="6"/>
        <v>20</v>
      </c>
      <c r="G174" s="8">
        <v>7671.6</v>
      </c>
      <c r="H174" s="23">
        <v>9790</v>
      </c>
      <c r="I174">
        <f t="shared" si="7"/>
        <v>9790</v>
      </c>
      <c r="J174" s="36">
        <f t="shared" si="8"/>
        <v>2118.3999999999996</v>
      </c>
    </row>
    <row r="175" spans="1:10" ht="15" thickBot="1" x14ac:dyDescent="0.35">
      <c r="A175" s="2"/>
      <c r="B175" s="7">
        <v>23327</v>
      </c>
      <c r="C175" s="20" t="s">
        <v>261</v>
      </c>
      <c r="D175" s="21">
        <v>209</v>
      </c>
      <c r="E175">
        <v>1</v>
      </c>
      <c r="F175">
        <f t="shared" si="6"/>
        <v>209</v>
      </c>
      <c r="G175" s="8">
        <v>77380</v>
      </c>
      <c r="H175" s="23">
        <v>98735</v>
      </c>
      <c r="I175">
        <f t="shared" si="7"/>
        <v>98735</v>
      </c>
      <c r="J175" s="36">
        <f t="shared" si="8"/>
        <v>21355</v>
      </c>
    </row>
    <row r="176" spans="1:10" ht="15" thickBot="1" x14ac:dyDescent="0.35">
      <c r="A176" s="1" t="s">
        <v>262</v>
      </c>
      <c r="B176" s="7">
        <v>12773</v>
      </c>
      <c r="C176" s="20" t="s">
        <v>263</v>
      </c>
      <c r="D176" s="21">
        <v>5</v>
      </c>
      <c r="E176">
        <v>3</v>
      </c>
      <c r="F176">
        <f t="shared" si="6"/>
        <v>15</v>
      </c>
      <c r="G176" s="8">
        <v>6047.4</v>
      </c>
      <c r="H176" s="23">
        <v>2570</v>
      </c>
      <c r="I176">
        <f t="shared" si="7"/>
        <v>7710</v>
      </c>
      <c r="J176" s="36">
        <f t="shared" si="8"/>
        <v>1662.6000000000004</v>
      </c>
    </row>
    <row r="177" spans="1:10" ht="15" thickBot="1" x14ac:dyDescent="0.35">
      <c r="A177" s="2"/>
      <c r="B177" s="7">
        <v>23321</v>
      </c>
      <c r="C177" s="20" t="s">
        <v>264</v>
      </c>
      <c r="D177" s="21">
        <v>20</v>
      </c>
      <c r="E177">
        <v>1</v>
      </c>
      <c r="F177">
        <f t="shared" si="6"/>
        <v>20</v>
      </c>
      <c r="G177" s="8">
        <v>7721.5</v>
      </c>
      <c r="H177" s="23">
        <v>9855</v>
      </c>
      <c r="I177">
        <f t="shared" si="7"/>
        <v>9855</v>
      </c>
      <c r="J177" s="36">
        <f t="shared" si="8"/>
        <v>2133.5</v>
      </c>
    </row>
    <row r="178" spans="1:10" ht="15" thickBot="1" x14ac:dyDescent="0.35">
      <c r="A178" s="2"/>
      <c r="B178" s="7">
        <v>23304</v>
      </c>
      <c r="C178" s="20" t="s">
        <v>265</v>
      </c>
      <c r="D178" s="21">
        <v>209</v>
      </c>
      <c r="E178">
        <v>1</v>
      </c>
      <c r="F178">
        <f t="shared" si="6"/>
        <v>209</v>
      </c>
      <c r="G178" s="8">
        <v>78304.7</v>
      </c>
      <c r="H178" s="23">
        <v>99915</v>
      </c>
      <c r="I178">
        <f t="shared" si="7"/>
        <v>99915</v>
      </c>
      <c r="J178" s="36">
        <f t="shared" si="8"/>
        <v>21610.300000000003</v>
      </c>
    </row>
    <row r="179" spans="1:10" ht="15" thickBot="1" x14ac:dyDescent="0.35">
      <c r="A179" s="1" t="s">
        <v>266</v>
      </c>
      <c r="B179" s="7">
        <v>23306</v>
      </c>
      <c r="C179" s="20" t="s">
        <v>267</v>
      </c>
      <c r="D179" s="21">
        <v>20</v>
      </c>
      <c r="E179">
        <v>1</v>
      </c>
      <c r="F179">
        <f t="shared" si="6"/>
        <v>20</v>
      </c>
      <c r="G179" s="8">
        <v>7839.2</v>
      </c>
      <c r="H179" s="23">
        <v>10005</v>
      </c>
      <c r="I179">
        <f t="shared" si="7"/>
        <v>10005</v>
      </c>
      <c r="J179" s="36">
        <f t="shared" si="8"/>
        <v>2165.8000000000002</v>
      </c>
    </row>
    <row r="180" spans="1:10" ht="15" thickBot="1" x14ac:dyDescent="0.35">
      <c r="A180" s="2"/>
      <c r="B180" s="7">
        <v>23305</v>
      </c>
      <c r="C180" s="20" t="s">
        <v>268</v>
      </c>
      <c r="D180" s="21">
        <v>209</v>
      </c>
      <c r="E180">
        <v>1</v>
      </c>
      <c r="F180">
        <f t="shared" si="6"/>
        <v>209</v>
      </c>
      <c r="G180" s="8">
        <v>79656.899999999994</v>
      </c>
      <c r="H180" s="23">
        <v>101640</v>
      </c>
      <c r="I180">
        <f t="shared" si="7"/>
        <v>101640</v>
      </c>
      <c r="J180" s="36">
        <f t="shared" si="8"/>
        <v>21983.100000000006</v>
      </c>
    </row>
    <row r="181" spans="1:10" ht="15" thickBot="1" x14ac:dyDescent="0.35">
      <c r="A181" s="1" t="s">
        <v>269</v>
      </c>
      <c r="B181" s="7">
        <v>12763</v>
      </c>
      <c r="C181" s="20" t="s">
        <v>270</v>
      </c>
      <c r="D181" s="21">
        <v>20</v>
      </c>
      <c r="E181">
        <v>1</v>
      </c>
      <c r="F181">
        <f t="shared" si="6"/>
        <v>20</v>
      </c>
      <c r="G181" s="8">
        <v>8543.2999999999993</v>
      </c>
      <c r="H181" s="23">
        <v>10900</v>
      </c>
      <c r="I181">
        <f t="shared" si="7"/>
        <v>10900</v>
      </c>
      <c r="J181" s="36">
        <f t="shared" si="8"/>
        <v>2356.7000000000007</v>
      </c>
    </row>
    <row r="182" spans="1:10" ht="15" thickBot="1" x14ac:dyDescent="0.35">
      <c r="A182" s="2"/>
      <c r="B182" s="7">
        <v>23326</v>
      </c>
      <c r="C182" s="20" t="s">
        <v>271</v>
      </c>
      <c r="D182" s="21">
        <v>209</v>
      </c>
      <c r="E182">
        <v>1</v>
      </c>
      <c r="F182">
        <f t="shared" si="6"/>
        <v>209</v>
      </c>
      <c r="G182" s="8">
        <v>86905.2</v>
      </c>
      <c r="H182" s="23">
        <v>110890</v>
      </c>
      <c r="I182">
        <f t="shared" si="7"/>
        <v>110890</v>
      </c>
      <c r="J182" s="36">
        <f t="shared" si="8"/>
        <v>23984.800000000003</v>
      </c>
    </row>
    <row r="183" spans="1:10" ht="15" thickBot="1" x14ac:dyDescent="0.35">
      <c r="A183" s="1" t="s">
        <v>272</v>
      </c>
      <c r="B183" s="7">
        <v>12726</v>
      </c>
      <c r="C183" s="20" t="s">
        <v>273</v>
      </c>
      <c r="D183" s="21">
        <v>20</v>
      </c>
      <c r="E183">
        <v>1</v>
      </c>
      <c r="F183">
        <f t="shared" si="6"/>
        <v>20</v>
      </c>
      <c r="G183" s="8">
        <v>9472.2000000000007</v>
      </c>
      <c r="H183" s="23">
        <v>12085</v>
      </c>
      <c r="I183">
        <f t="shared" si="7"/>
        <v>12085</v>
      </c>
      <c r="J183" s="36">
        <f t="shared" si="8"/>
        <v>2612.7999999999993</v>
      </c>
    </row>
    <row r="184" spans="1:10" ht="15" thickBot="1" x14ac:dyDescent="0.35">
      <c r="A184" s="2"/>
      <c r="B184" s="7">
        <v>23307</v>
      </c>
      <c r="C184" s="20" t="s">
        <v>274</v>
      </c>
      <c r="D184" s="21">
        <v>209</v>
      </c>
      <c r="E184">
        <v>1</v>
      </c>
      <c r="F184">
        <f t="shared" si="6"/>
        <v>209</v>
      </c>
      <c r="G184" s="8">
        <v>96506.3</v>
      </c>
      <c r="H184" s="23">
        <v>123140</v>
      </c>
      <c r="I184">
        <f t="shared" si="7"/>
        <v>123140</v>
      </c>
      <c r="J184" s="36">
        <f t="shared" si="8"/>
        <v>26633.699999999997</v>
      </c>
    </row>
    <row r="185" spans="1:10" ht="15" thickBot="1" x14ac:dyDescent="0.35">
      <c r="A185" s="1" t="s">
        <v>275</v>
      </c>
      <c r="B185" s="7">
        <v>12703</v>
      </c>
      <c r="C185" s="20" t="s">
        <v>276</v>
      </c>
      <c r="D185" s="21">
        <v>209</v>
      </c>
      <c r="E185">
        <v>1</v>
      </c>
      <c r="F185">
        <f t="shared" si="6"/>
        <v>209</v>
      </c>
      <c r="G185" s="8">
        <v>103924.3</v>
      </c>
      <c r="H185" s="23">
        <v>132605</v>
      </c>
      <c r="I185">
        <f t="shared" si="7"/>
        <v>132605</v>
      </c>
      <c r="J185" s="36">
        <f t="shared" si="8"/>
        <v>28680.699999999997</v>
      </c>
    </row>
    <row r="186" spans="1:10" ht="15" thickBot="1" x14ac:dyDescent="0.35">
      <c r="A186" s="1" t="s">
        <v>277</v>
      </c>
      <c r="B186" s="7">
        <v>12659</v>
      </c>
      <c r="C186" s="20" t="s">
        <v>278</v>
      </c>
      <c r="D186" s="21">
        <v>209</v>
      </c>
      <c r="E186">
        <v>1</v>
      </c>
      <c r="F186">
        <f t="shared" si="6"/>
        <v>209</v>
      </c>
      <c r="G186" s="8">
        <v>200225</v>
      </c>
      <c r="H186" s="23">
        <v>255485</v>
      </c>
      <c r="I186">
        <f t="shared" si="7"/>
        <v>255485</v>
      </c>
      <c r="J186" s="36">
        <f t="shared" si="8"/>
        <v>55260</v>
      </c>
    </row>
    <row r="187" spans="1:10" ht="15" thickBot="1" x14ac:dyDescent="0.35">
      <c r="A187" s="1" t="s">
        <v>279</v>
      </c>
      <c r="B187" s="7">
        <v>12899</v>
      </c>
      <c r="C187" s="20" t="s">
        <v>280</v>
      </c>
      <c r="D187" s="21">
        <v>209</v>
      </c>
      <c r="E187">
        <v>1</v>
      </c>
      <c r="F187">
        <f t="shared" si="6"/>
        <v>209</v>
      </c>
      <c r="G187" s="8">
        <v>180102.7</v>
      </c>
      <c r="H187" s="23">
        <v>229810</v>
      </c>
      <c r="I187">
        <f t="shared" si="7"/>
        <v>229810</v>
      </c>
      <c r="J187" s="36">
        <f t="shared" si="8"/>
        <v>49707.299999999988</v>
      </c>
    </row>
    <row r="188" spans="1:10" ht="15" thickBot="1" x14ac:dyDescent="0.35">
      <c r="A188" s="1" t="s">
        <v>281</v>
      </c>
      <c r="B188" s="7">
        <v>23387</v>
      </c>
      <c r="C188" s="20" t="s">
        <v>282</v>
      </c>
      <c r="D188" s="21">
        <v>209</v>
      </c>
      <c r="E188">
        <v>1</v>
      </c>
      <c r="F188">
        <f t="shared" si="6"/>
        <v>209</v>
      </c>
      <c r="G188" s="8">
        <v>205507</v>
      </c>
      <c r="H188" s="23">
        <v>262225</v>
      </c>
      <c r="I188">
        <f t="shared" si="7"/>
        <v>262225</v>
      </c>
      <c r="J188" s="36">
        <f t="shared" si="8"/>
        <v>56718</v>
      </c>
    </row>
    <row r="189" spans="1:10" ht="15" thickBot="1" x14ac:dyDescent="0.35">
      <c r="A189" s="15" t="s">
        <v>283</v>
      </c>
      <c r="B189" s="16">
        <v>23386</v>
      </c>
      <c r="C189" s="27" t="s">
        <v>284</v>
      </c>
      <c r="D189" s="28">
        <v>209</v>
      </c>
      <c r="E189">
        <v>1</v>
      </c>
      <c r="F189">
        <f t="shared" si="6"/>
        <v>209</v>
      </c>
      <c r="G189" s="17">
        <v>226658.6</v>
      </c>
      <c r="H189" s="29">
        <v>289215</v>
      </c>
      <c r="I189">
        <f t="shared" si="7"/>
        <v>289215</v>
      </c>
      <c r="J189" s="36">
        <f t="shared" si="8"/>
        <v>62556.399999999994</v>
      </c>
    </row>
    <row r="190" spans="1:10" ht="15" thickTop="1" x14ac:dyDescent="0.3">
      <c r="A190" s="10" t="s">
        <v>285</v>
      </c>
      <c r="J190" s="36"/>
    </row>
    <row r="191" spans="1:10" x14ac:dyDescent="0.3">
      <c r="A191" s="10" t="s">
        <v>286</v>
      </c>
      <c r="J191" s="36"/>
    </row>
    <row r="192" spans="1:10" x14ac:dyDescent="0.3">
      <c r="J192" s="36"/>
    </row>
    <row r="193" spans="10:10" x14ac:dyDescent="0.3">
      <c r="J193" s="36" t="s">
        <v>295</v>
      </c>
    </row>
  </sheetData>
  <mergeCells count="7">
    <mergeCell ref="I3:I4"/>
    <mergeCell ref="J3:J4"/>
    <mergeCell ref="E3:E4"/>
    <mergeCell ref="F3:F4"/>
    <mergeCell ref="A3:A4"/>
    <mergeCell ref="C3:C4"/>
    <mergeCell ref="D3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2026-01-09T03:55:31Z</dcterms:created>
  <dcterms:modified xsi:type="dcterms:W3CDTF">2026-01-11T10:44:03Z</dcterms:modified>
</cp:coreProperties>
</file>