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14055" windowHeight="9405"/>
  </bookViews>
  <sheets>
    <sheet name="Daily Station Report" sheetId="1" r:id="rId1"/>
  </sheets>
  <calcPr calcId="144525"/>
</workbook>
</file>

<file path=xl/calcChain.xml><?xml version="1.0" encoding="utf-8"?>
<calcChain xmlns="http://schemas.openxmlformats.org/spreadsheetml/2006/main">
  <c r="B10" i="1" l="1"/>
  <c r="B79" i="1" l="1"/>
  <c r="B81" i="1" l="1"/>
  <c r="B121" i="1" s="1"/>
  <c r="F10" i="1"/>
  <c r="G10" i="1"/>
  <c r="B88" i="1"/>
  <c r="B123" i="1" s="1"/>
  <c r="B120" i="1"/>
  <c r="B18" i="1"/>
  <c r="B21" i="1" s="1"/>
  <c r="E10" i="1"/>
  <c r="H9" i="1"/>
  <c r="I9" i="1" s="1"/>
  <c r="D9" i="1"/>
  <c r="H8" i="1"/>
  <c r="I8" i="1" s="1"/>
  <c r="D8" i="1"/>
  <c r="H7" i="1"/>
  <c r="I7" i="1" s="1"/>
  <c r="D7" i="1"/>
  <c r="H10" i="1" l="1"/>
  <c r="I10" i="1"/>
  <c r="D10" i="1"/>
  <c r="B20" i="1" s="1"/>
  <c r="B22" i="1" s="1"/>
  <c r="B26" i="1" l="1"/>
  <c r="B111" i="1" l="1"/>
  <c r="B115" i="1" s="1"/>
  <c r="B40" i="1"/>
  <c r="B122" i="1" l="1"/>
  <c r="B119" i="1" s="1"/>
  <c r="B124" i="1" s="1"/>
</calcChain>
</file>

<file path=xl/sharedStrings.xml><?xml version="1.0" encoding="utf-8"?>
<sst xmlns="http://schemas.openxmlformats.org/spreadsheetml/2006/main" count="122" uniqueCount="112">
  <si>
    <t>DAILY STATION REPORT</t>
  </si>
  <si>
    <t>Shell Fuel Station - Maanzoni</t>
  </si>
  <si>
    <t>Date:</t>
  </si>
  <si>
    <t>FUEL SALES</t>
  </si>
  <si>
    <t>Product</t>
  </si>
  <si>
    <t>Sales (Liters)</t>
  </si>
  <si>
    <t>Price/Ltr</t>
  </si>
  <si>
    <t>Amount (KES)</t>
  </si>
  <si>
    <t>Opening Dips</t>
  </si>
  <si>
    <t>Closing Dips</t>
  </si>
  <si>
    <t>Deliveries</t>
  </si>
  <si>
    <t>Sales Dips</t>
  </si>
  <si>
    <t>VP (Super)</t>
  </si>
  <si>
    <t>UX (Regular)</t>
  </si>
  <si>
    <t>DX (Diesel)</t>
  </si>
  <si>
    <t>TOTAL FUEL</t>
  </si>
  <si>
    <t>OTHER SALES</t>
  </si>
  <si>
    <t>Category</t>
  </si>
  <si>
    <t>Lubricants</t>
  </si>
  <si>
    <t>Filters/Accessories</t>
  </si>
  <si>
    <t>LPG Sales</t>
  </si>
  <si>
    <t>Car Wash</t>
  </si>
  <si>
    <t>TOTAL OTHER SALES</t>
  </si>
  <si>
    <t>TOTAL DAILY SALES</t>
  </si>
  <si>
    <t>Fuel Sales</t>
  </si>
  <si>
    <t>Other Sales</t>
  </si>
  <si>
    <t>GRAND TOTAL</t>
  </si>
  <si>
    <t>PAYMENT METHOD BREAKDOWN</t>
  </si>
  <si>
    <t>Payment Method</t>
  </si>
  <si>
    <t>Amount</t>
  </si>
  <si>
    <t>Cash at Hand</t>
  </si>
  <si>
    <t>M-Pesa</t>
  </si>
  <si>
    <t>Shell Card</t>
  </si>
  <si>
    <t>A &amp; O Energy</t>
  </si>
  <si>
    <t>KCB Visa</t>
  </si>
  <si>
    <t>Equity Visa</t>
  </si>
  <si>
    <t>Maasai</t>
  </si>
  <si>
    <t>Amazing Kenya</t>
  </si>
  <si>
    <t>Other Credit Cards</t>
  </si>
  <si>
    <t>TOTAL PAYMENTS</t>
  </si>
  <si>
    <t>STOCK VALUATION</t>
  </si>
  <si>
    <t>Value (KES)</t>
  </si>
  <si>
    <t>White Products (Fuel)</t>
  </si>
  <si>
    <t>LPG &amp; Accessories</t>
  </si>
  <si>
    <t>Filters (Oil/Air/Fuel)</t>
  </si>
  <si>
    <t>Accessories</t>
  </si>
  <si>
    <t>Brake Pads</t>
  </si>
  <si>
    <t>TOTAL STOCK VALUE</t>
  </si>
  <si>
    <t>ACCOUNTS RECEIVABLE (Outstanding Customer Balances)</t>
  </si>
  <si>
    <t>Customer/Account</t>
  </si>
  <si>
    <t>Balance (KES)</t>
  </si>
  <si>
    <t>RK Sangani</t>
  </si>
  <si>
    <t>KCB Visa Card</t>
  </si>
  <si>
    <t>Arab</t>
  </si>
  <si>
    <t>Ali Mohamed</t>
  </si>
  <si>
    <t>Abdi Musa</t>
  </si>
  <si>
    <t>Abdirahman Ahmed</t>
  </si>
  <si>
    <t>Abdihakim Mohamud</t>
  </si>
  <si>
    <t>TOTAL RECEIVABLES</t>
  </si>
  <si>
    <t>ACCOUNTS PAYABLE (Creditors)</t>
  </si>
  <si>
    <t>Supplier</t>
  </si>
  <si>
    <t>Amount Owed</t>
  </si>
  <si>
    <t>Vivo Energy</t>
  </si>
  <si>
    <t>Eastern Gas</t>
  </si>
  <si>
    <t>TOTAL PAYABLES</t>
  </si>
  <si>
    <t>CASH FLOW SUMMARY</t>
  </si>
  <si>
    <t>Today's Cash Sales</t>
  </si>
  <si>
    <t>Less: Expenses Paid</t>
  </si>
  <si>
    <t>Less: Discounts Given</t>
  </si>
  <si>
    <t>CLOSING CASH BALANCE</t>
  </si>
  <si>
    <t>DAILY EXPENSES</t>
  </si>
  <si>
    <t>Expense Category</t>
  </si>
  <si>
    <t>Staff Advance</t>
  </si>
  <si>
    <t>TOTAL EXPENSES</t>
  </si>
  <si>
    <t>FINANCIAL SUMMARY</t>
  </si>
  <si>
    <t>Total Assets</t>
  </si>
  <si>
    <t xml:space="preserve">  Stock Value</t>
  </si>
  <si>
    <t xml:space="preserve">  Receivables</t>
  </si>
  <si>
    <t xml:space="preserve">  Cash</t>
  </si>
  <si>
    <t>Total Liabilities</t>
  </si>
  <si>
    <t>NET POSITION</t>
  </si>
  <si>
    <t>Active accounts</t>
  </si>
  <si>
    <t xml:space="preserve">payments </t>
  </si>
  <si>
    <t>Kcb Bank</t>
  </si>
  <si>
    <t xml:space="preserve">Staff </t>
  </si>
  <si>
    <t>Dips VAR</t>
  </si>
  <si>
    <t>Masters Fab.</t>
  </si>
  <si>
    <t>Miscellaneous</t>
  </si>
  <si>
    <t>Shop</t>
  </si>
  <si>
    <t>Albaik</t>
  </si>
  <si>
    <t>OTHER Staff Advances</t>
  </si>
  <si>
    <t>Shortage/Excess</t>
  </si>
  <si>
    <t>albaik</t>
  </si>
  <si>
    <t>shop</t>
  </si>
  <si>
    <t>Master fab.</t>
  </si>
  <si>
    <t>SHORTS/EXCESS</t>
  </si>
  <si>
    <t>security</t>
  </si>
  <si>
    <t>ORIENTAL</t>
  </si>
  <si>
    <t>Alaya cons. Ltd</t>
  </si>
  <si>
    <t>kplc</t>
  </si>
  <si>
    <t>sales discount</t>
  </si>
  <si>
    <t>opening cash balance</t>
  </si>
  <si>
    <t>DON’T CHANGE</t>
  </si>
  <si>
    <t>forcourt expence</t>
  </si>
  <si>
    <t>cleaning</t>
  </si>
  <si>
    <t>BANK</t>
  </si>
  <si>
    <t>STAFF MEAL</t>
  </si>
  <si>
    <t>MPESA CHARGES</t>
  </si>
  <si>
    <t>Oriantal</t>
  </si>
  <si>
    <t>VP INCENTIVE</t>
  </si>
  <si>
    <t>.</t>
  </si>
  <si>
    <t>puplic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</si>
</sst>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_-;\-* #,##0.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E97132"/>
        <bgColor rgb="FFE97132"/>
      </patternFill>
    </fill>
    <fill>
      <patternFill patternType="solid">
        <fgColor rgb="FFC00000"/>
        <bgColor rgb="FFC00000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1F4E78"/>
      </patternFill>
    </fill>
    <fill>
      <patternFill patternType="solid">
        <fgColor theme="3"/>
        <bgColor rgb="FF4472C4"/>
      </patternFill>
    </fill>
    <fill>
      <patternFill patternType="solid">
        <fgColor theme="3"/>
        <bgColor rgb="FFE97132"/>
      </patternFill>
    </fill>
    <fill>
      <patternFill patternType="solid">
        <fgColor theme="3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rgb="FFA9D08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6" fillId="0" borderId="0" xfId="0" applyFont="1"/>
    <xf numFmtId="0" fontId="8" fillId="4" borderId="0" xfId="0" applyFont="1" applyFill="1" applyAlignment="1">
      <alignment horizontal="center"/>
    </xf>
    <xf numFmtId="0" fontId="3" fillId="7" borderId="0" xfId="0" applyFont="1" applyFill="1"/>
    <xf numFmtId="0" fontId="6" fillId="7" borderId="1" xfId="0" applyFont="1" applyFill="1" applyBorder="1"/>
    <xf numFmtId="0" fontId="3" fillId="0" borderId="1" xfId="0" applyFont="1" applyBorder="1"/>
    <xf numFmtId="4" fontId="3" fillId="0" borderId="1" xfId="0" applyNumberFormat="1" applyFont="1" applyBorder="1"/>
    <xf numFmtId="4" fontId="3" fillId="7" borderId="1" xfId="0" applyNumberFormat="1" applyFont="1" applyFill="1" applyBorder="1"/>
    <xf numFmtId="4" fontId="2" fillId="7" borderId="1" xfId="0" applyNumberFormat="1" applyFont="1" applyFill="1" applyBorder="1"/>
    <xf numFmtId="0" fontId="6" fillId="0" borderId="1" xfId="0" applyFont="1" applyBorder="1"/>
    <xf numFmtId="4" fontId="6" fillId="0" borderId="1" xfId="0" applyNumberFormat="1" applyFont="1" applyBorder="1"/>
    <xf numFmtId="3" fontId="3" fillId="0" borderId="1" xfId="0" applyNumberFormat="1" applyFont="1" applyBorder="1"/>
    <xf numFmtId="14" fontId="10" fillId="0" borderId="0" xfId="0" applyNumberFormat="1" applyFont="1"/>
    <xf numFmtId="43" fontId="3" fillId="0" borderId="0" xfId="1" applyFont="1"/>
    <xf numFmtId="0" fontId="3" fillId="0" borderId="0" xfId="0" applyFont="1"/>
    <xf numFmtId="0" fontId="3" fillId="0" borderId="0" xfId="0" applyFont="1"/>
    <xf numFmtId="0" fontId="3" fillId="0" borderId="0" xfId="0" applyFont="1"/>
    <xf numFmtId="0" fontId="3" fillId="0" borderId="0" xfId="0" applyFont="1"/>
    <xf numFmtId="0" fontId="3" fillId="0" borderId="0" xfId="0" applyFont="1" applyBorder="1"/>
    <xf numFmtId="49" fontId="3" fillId="0" borderId="0" xfId="0" applyNumberFormat="1" applyFont="1" applyBorder="1"/>
    <xf numFmtId="2" fontId="3" fillId="0" borderId="1" xfId="0" applyNumberFormat="1" applyFont="1" applyBorder="1"/>
    <xf numFmtId="4" fontId="6" fillId="0" borderId="0" xfId="0" applyNumberFormat="1" applyFont="1" applyBorder="1"/>
    <xf numFmtId="0" fontId="3" fillId="0" borderId="0" xfId="0" applyFont="1"/>
    <xf numFmtId="0" fontId="3" fillId="0" borderId="0" xfId="0" applyFont="1"/>
    <xf numFmtId="164" fontId="3" fillId="0" borderId="1" xfId="1" applyNumberFormat="1" applyFont="1" applyBorder="1"/>
    <xf numFmtId="43" fontId="3" fillId="0" borderId="1" xfId="1" applyFont="1" applyBorder="1"/>
    <xf numFmtId="0" fontId="8" fillId="13" borderId="1" xfId="0" applyFont="1" applyFill="1" applyBorder="1"/>
    <xf numFmtId="43" fontId="3" fillId="0" borderId="0" xfId="0" applyNumberFormat="1" applyFont="1"/>
    <xf numFmtId="0" fontId="3" fillId="0" borderId="0" xfId="0" applyFont="1"/>
    <xf numFmtId="0" fontId="3" fillId="0" borderId="0" xfId="0" applyFont="1"/>
    <xf numFmtId="4" fontId="3" fillId="0" borderId="0" xfId="0" applyNumberFormat="1" applyFont="1"/>
    <xf numFmtId="4" fontId="3" fillId="0" borderId="0" xfId="0" applyNumberFormat="1" applyFont="1" applyBorder="1"/>
    <xf numFmtId="4" fontId="5" fillId="0" borderId="1" xfId="0" applyNumberFormat="1" applyFont="1" applyFill="1" applyBorder="1"/>
    <xf numFmtId="4" fontId="3" fillId="14" borderId="1" xfId="0" applyNumberFormat="1" applyFont="1" applyFill="1" applyBorder="1"/>
    <xf numFmtId="43" fontId="6" fillId="0" borderId="1" xfId="1" applyFont="1" applyBorder="1"/>
    <xf numFmtId="0" fontId="6" fillId="0" borderId="1" xfId="0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right"/>
    </xf>
    <xf numFmtId="0" fontId="8" fillId="4" borderId="0" xfId="0" applyFont="1" applyFill="1" applyAlignment="1">
      <alignment horizontal="right"/>
    </xf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8" fillId="13" borderId="1" xfId="0" applyFont="1" applyFill="1" applyBorder="1" applyAlignment="1">
      <alignment horizontal="right"/>
    </xf>
    <xf numFmtId="0" fontId="3" fillId="14" borderId="1" xfId="0" applyFont="1" applyFill="1" applyBorder="1" applyAlignment="1">
      <alignment horizontal="right"/>
    </xf>
    <xf numFmtId="0" fontId="9" fillId="7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11" fillId="12" borderId="1" xfId="0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0" xfId="0" applyFont="1"/>
    <xf numFmtId="0" fontId="7" fillId="2" borderId="0" xfId="0" applyFont="1" applyFill="1"/>
    <xf numFmtId="0" fontId="8" fillId="4" borderId="0" xfId="0" applyFont="1" applyFill="1"/>
    <xf numFmtId="0" fontId="4" fillId="8" borderId="0" xfId="0" applyFont="1" applyFill="1" applyAlignment="1">
      <alignment horizontal="center" vertical="center"/>
    </xf>
    <xf numFmtId="0" fontId="3" fillId="7" borderId="0" xfId="0" applyFont="1" applyFill="1"/>
    <xf numFmtId="0" fontId="3" fillId="0" borderId="0" xfId="0" applyFont="1"/>
    <xf numFmtId="0" fontId="7" fillId="10" borderId="0" xfId="0" applyFont="1" applyFill="1"/>
    <xf numFmtId="0" fontId="7" fillId="5" borderId="0" xfId="0" applyFont="1" applyFill="1"/>
    <xf numFmtId="0" fontId="7" fillId="11" borderId="0" xfId="0" applyFont="1" applyFill="1"/>
    <xf numFmtId="0" fontId="5" fillId="0" borderId="0" xfId="0" applyFont="1" applyAlignment="1">
      <alignment horizontal="center"/>
    </xf>
    <xf numFmtId="0" fontId="7" fillId="3" borderId="0" xfId="0" applyFont="1" applyFill="1"/>
    <xf numFmtId="0" fontId="7" fillId="9" borderId="0" xfId="0" applyFont="1" applyFill="1"/>
    <xf numFmtId="0" fontId="7" fillId="6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tabSelected="1" topLeftCell="A112" zoomScaleNormal="100" workbookViewId="0">
      <selection activeCell="B114" sqref="B114"/>
    </sheetView>
  </sheetViews>
  <sheetFormatPr defaultRowHeight="15" x14ac:dyDescent="0.25"/>
  <cols>
    <col min="1" max="1" width="23" style="50" bestFit="1" customWidth="1"/>
    <col min="2" max="2" width="18.140625" style="1" bestFit="1" customWidth="1"/>
    <col min="3" max="4" width="13.28515625" style="1" bestFit="1" customWidth="1"/>
    <col min="5" max="5" width="12.85546875" style="1" bestFit="1" customWidth="1"/>
    <col min="6" max="6" width="11.7109375" style="1" bestFit="1" customWidth="1"/>
    <col min="7" max="7" width="10" style="1" bestFit="1" customWidth="1"/>
    <col min="8" max="9" width="9.85546875" style="1" bestFit="1" customWidth="1"/>
    <col min="10" max="16384" width="9.140625" style="1"/>
  </cols>
  <sheetData>
    <row r="1" spans="1:9" ht="24.95" customHeight="1" x14ac:dyDescent="0.25">
      <c r="A1" s="56" t="s">
        <v>0</v>
      </c>
      <c r="B1" s="57"/>
      <c r="C1" s="57"/>
      <c r="D1" s="57"/>
      <c r="E1" s="57"/>
      <c r="F1" s="57"/>
      <c r="G1" s="57"/>
      <c r="H1" s="57"/>
      <c r="I1" s="4"/>
    </row>
    <row r="2" spans="1:9" ht="15.75" x14ac:dyDescent="0.25">
      <c r="A2" s="62" t="s">
        <v>1</v>
      </c>
      <c r="B2" s="58"/>
      <c r="C2" s="58"/>
      <c r="D2" s="58"/>
      <c r="E2" s="58"/>
      <c r="F2" s="58"/>
      <c r="G2" s="58"/>
      <c r="H2" s="58"/>
    </row>
    <row r="3" spans="1:9" ht="15.75" x14ac:dyDescent="0.25">
      <c r="A3" s="40" t="s">
        <v>2</v>
      </c>
      <c r="B3" s="13">
        <v>46261</v>
      </c>
    </row>
    <row r="5" spans="1:9" ht="15.75" x14ac:dyDescent="0.25">
      <c r="A5" s="64" t="s">
        <v>3</v>
      </c>
      <c r="B5" s="57"/>
      <c r="C5" s="57"/>
      <c r="D5" s="57"/>
      <c r="E5" s="57"/>
      <c r="F5" s="57"/>
      <c r="G5" s="57"/>
      <c r="H5" s="57"/>
      <c r="I5" s="4"/>
    </row>
    <row r="6" spans="1:9" x14ac:dyDescent="0.25">
      <c r="A6" s="41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85</v>
      </c>
    </row>
    <row r="7" spans="1:9" x14ac:dyDescent="0.25">
      <c r="A7" s="42" t="s">
        <v>12</v>
      </c>
      <c r="B7" s="7">
        <v>86.33</v>
      </c>
      <c r="C7" s="7">
        <v>229</v>
      </c>
      <c r="D7" s="7">
        <f>B7*C7</f>
        <v>19769.57</v>
      </c>
      <c r="E7" s="25">
        <v>1437</v>
      </c>
      <c r="F7" s="25">
        <v>1320</v>
      </c>
      <c r="G7" s="12">
        <v>0</v>
      </c>
      <c r="H7" s="25">
        <f>E7-F7+G7</f>
        <v>117</v>
      </c>
      <c r="I7" s="25">
        <f>B7-H7</f>
        <v>-30.67</v>
      </c>
    </row>
    <row r="8" spans="1:9" x14ac:dyDescent="0.25">
      <c r="A8" s="42" t="s">
        <v>13</v>
      </c>
      <c r="B8" s="7">
        <v>1395.76</v>
      </c>
      <c r="C8" s="7">
        <v>210</v>
      </c>
      <c r="D8" s="7">
        <f>B8*C8</f>
        <v>293109.59999999998</v>
      </c>
      <c r="E8" s="25">
        <v>9920</v>
      </c>
      <c r="F8" s="25">
        <v>8556</v>
      </c>
      <c r="G8" s="12">
        <v>0</v>
      </c>
      <c r="H8" s="25">
        <f>E8-F8+G8</f>
        <v>1364</v>
      </c>
      <c r="I8" s="25">
        <f>B8-H8</f>
        <v>31.759999999999991</v>
      </c>
    </row>
    <row r="9" spans="1:9" x14ac:dyDescent="0.25">
      <c r="A9" s="42" t="s">
        <v>14</v>
      </c>
      <c r="B9" s="7">
        <v>1152.18</v>
      </c>
      <c r="C9" s="7">
        <v>213.8</v>
      </c>
      <c r="D9" s="7">
        <f>B9*C9</f>
        <v>246336.08400000003</v>
      </c>
      <c r="E9" s="25">
        <v>24178</v>
      </c>
      <c r="F9" s="25">
        <v>22975</v>
      </c>
      <c r="G9" s="12">
        <v>0</v>
      </c>
      <c r="H9" s="25">
        <f>E9-F9+G9</f>
        <v>1203</v>
      </c>
      <c r="I9" s="25">
        <f>B9-H9</f>
        <v>-50.819999999999936</v>
      </c>
    </row>
    <row r="10" spans="1:9" x14ac:dyDescent="0.25">
      <c r="A10" s="43" t="s">
        <v>15</v>
      </c>
      <c r="B10" s="7">
        <f>B7+B8+B9</f>
        <v>2634.27</v>
      </c>
      <c r="C10" s="6"/>
      <c r="D10" s="7">
        <f>SUM(D7:D9)</f>
        <v>559215.25399999996</v>
      </c>
      <c r="E10" s="26">
        <f>SUM(E7:E9)</f>
        <v>35535</v>
      </c>
      <c r="F10" s="25">
        <f t="shared" ref="F10:H10" si="0">SUM(F7:F9)</f>
        <v>32851</v>
      </c>
      <c r="G10" s="12">
        <f t="shared" si="0"/>
        <v>0</v>
      </c>
      <c r="H10" s="25">
        <f t="shared" si="0"/>
        <v>2684</v>
      </c>
      <c r="I10" s="25">
        <f>SUM(I7:I9)</f>
        <v>-49.729999999999947</v>
      </c>
    </row>
    <row r="12" spans="1:9" ht="15.75" x14ac:dyDescent="0.25">
      <c r="A12" s="61" t="s">
        <v>16</v>
      </c>
      <c r="B12" s="57"/>
      <c r="C12" s="57"/>
      <c r="D12" s="57"/>
    </row>
    <row r="13" spans="1:9" x14ac:dyDescent="0.25">
      <c r="A13" s="44" t="s">
        <v>17</v>
      </c>
      <c r="B13" s="27" t="s">
        <v>7</v>
      </c>
    </row>
    <row r="14" spans="1:9" x14ac:dyDescent="0.25">
      <c r="A14" s="42" t="s">
        <v>18</v>
      </c>
      <c r="B14" s="7">
        <v>1310</v>
      </c>
    </row>
    <row r="15" spans="1:9" x14ac:dyDescent="0.25">
      <c r="A15" s="42" t="s">
        <v>19</v>
      </c>
      <c r="B15" s="7">
        <v>0</v>
      </c>
    </row>
    <row r="16" spans="1:9" x14ac:dyDescent="0.25">
      <c r="A16" s="42" t="s">
        <v>20</v>
      </c>
      <c r="B16" s="7">
        <v>0</v>
      </c>
    </row>
    <row r="17" spans="1:5" x14ac:dyDescent="0.25">
      <c r="A17" s="42" t="s">
        <v>21</v>
      </c>
      <c r="B17" s="7">
        <v>250</v>
      </c>
    </row>
    <row r="18" spans="1:5" x14ac:dyDescent="0.25">
      <c r="A18" s="43" t="s">
        <v>22</v>
      </c>
      <c r="B18" s="7">
        <f>SUM(B14:B17)</f>
        <v>1560</v>
      </c>
    </row>
    <row r="19" spans="1:5" ht="15.75" x14ac:dyDescent="0.25">
      <c r="A19" s="59" t="s">
        <v>23</v>
      </c>
      <c r="B19" s="57"/>
      <c r="C19" s="57"/>
      <c r="D19" s="57"/>
    </row>
    <row r="20" spans="1:5" x14ac:dyDescent="0.25">
      <c r="A20" s="42" t="s">
        <v>24</v>
      </c>
      <c r="B20" s="7">
        <f>D10</f>
        <v>559215.25399999996</v>
      </c>
    </row>
    <row r="21" spans="1:5" x14ac:dyDescent="0.25">
      <c r="A21" s="42" t="s">
        <v>25</v>
      </c>
      <c r="B21" s="7">
        <f>B18</f>
        <v>1560</v>
      </c>
    </row>
    <row r="22" spans="1:5" x14ac:dyDescent="0.25">
      <c r="A22" s="43" t="s">
        <v>26</v>
      </c>
      <c r="B22" s="11">
        <f>B20+B21</f>
        <v>560775.25399999996</v>
      </c>
    </row>
    <row r="24" spans="1:5" x14ac:dyDescent="0.25">
      <c r="A24" s="55" t="s">
        <v>27</v>
      </c>
      <c r="B24" s="58"/>
      <c r="C24" s="58"/>
      <c r="D24" s="58"/>
    </row>
    <row r="25" spans="1:5" x14ac:dyDescent="0.25">
      <c r="A25" s="43" t="s">
        <v>28</v>
      </c>
      <c r="B25" s="10" t="s">
        <v>29</v>
      </c>
    </row>
    <row r="26" spans="1:5" x14ac:dyDescent="0.25">
      <c r="A26" s="45" t="s">
        <v>30</v>
      </c>
      <c r="B26" s="34">
        <f>B22-(SUM(B27:B39))</f>
        <v>35689.253999999957</v>
      </c>
      <c r="C26" s="31" t="s">
        <v>102</v>
      </c>
      <c r="E26" s="31"/>
    </row>
    <row r="27" spans="1:5" x14ac:dyDescent="0.25">
      <c r="A27" s="42" t="s">
        <v>31</v>
      </c>
      <c r="B27" s="7">
        <v>311855</v>
      </c>
    </row>
    <row r="28" spans="1:5" s="23" customFormat="1" x14ac:dyDescent="0.25">
      <c r="A28" s="42" t="s">
        <v>86</v>
      </c>
      <c r="B28" s="7">
        <v>0</v>
      </c>
    </row>
    <row r="29" spans="1:5" x14ac:dyDescent="0.25">
      <c r="A29" s="42" t="s">
        <v>33</v>
      </c>
      <c r="B29" s="7">
        <v>85520</v>
      </c>
    </row>
    <row r="30" spans="1:5" s="15" customFormat="1" x14ac:dyDescent="0.25">
      <c r="A30" s="42" t="s">
        <v>92</v>
      </c>
      <c r="B30" s="7">
        <v>41300</v>
      </c>
    </row>
    <row r="31" spans="1:5" s="15" customFormat="1" x14ac:dyDescent="0.25">
      <c r="A31" s="42" t="s">
        <v>93</v>
      </c>
      <c r="B31" s="7">
        <v>40153</v>
      </c>
      <c r="D31" s="32"/>
    </row>
    <row r="32" spans="1:5" s="23" customFormat="1" x14ac:dyDescent="0.25">
      <c r="A32" s="42" t="s">
        <v>32</v>
      </c>
      <c r="B32" s="7">
        <v>0</v>
      </c>
    </row>
    <row r="33" spans="1:4" x14ac:dyDescent="0.25">
      <c r="A33" s="42" t="s">
        <v>34</v>
      </c>
      <c r="B33" s="7">
        <v>46258</v>
      </c>
    </row>
    <row r="34" spans="1:4" x14ac:dyDescent="0.25">
      <c r="A34" s="42" t="s">
        <v>35</v>
      </c>
      <c r="B34" s="7">
        <v>0</v>
      </c>
    </row>
    <row r="35" spans="1:4" x14ac:dyDescent="0.25">
      <c r="A35" s="42" t="s">
        <v>36</v>
      </c>
      <c r="B35" s="7">
        <v>0</v>
      </c>
    </row>
    <row r="36" spans="1:4" s="29" customFormat="1" x14ac:dyDescent="0.25">
      <c r="A36" s="42" t="s">
        <v>97</v>
      </c>
      <c r="B36" s="7">
        <v>0</v>
      </c>
    </row>
    <row r="37" spans="1:4" x14ac:dyDescent="0.25">
      <c r="A37" s="42" t="s">
        <v>37</v>
      </c>
      <c r="B37" s="7">
        <v>0</v>
      </c>
    </row>
    <row r="38" spans="1:4" s="23" customFormat="1" x14ac:dyDescent="0.25">
      <c r="A38" s="42" t="s">
        <v>95</v>
      </c>
      <c r="B38" s="7">
        <v>0</v>
      </c>
    </row>
    <row r="39" spans="1:4" x14ac:dyDescent="0.25">
      <c r="A39" s="42" t="s">
        <v>38</v>
      </c>
      <c r="B39" s="7">
        <v>0</v>
      </c>
    </row>
    <row r="40" spans="1:4" x14ac:dyDescent="0.25">
      <c r="A40" s="43" t="s">
        <v>39</v>
      </c>
      <c r="B40" s="11">
        <f>SUM(B26:B39)</f>
        <v>560775.25399999996</v>
      </c>
    </row>
    <row r="43" spans="1:4" ht="15.75" x14ac:dyDescent="0.25">
      <c r="A43" s="63" t="s">
        <v>40</v>
      </c>
      <c r="B43" s="58"/>
      <c r="C43" s="58"/>
      <c r="D43" s="58"/>
    </row>
    <row r="44" spans="1:4" x14ac:dyDescent="0.25">
      <c r="A44" s="40" t="s">
        <v>17</v>
      </c>
      <c r="B44" s="2" t="s">
        <v>41</v>
      </c>
    </row>
    <row r="45" spans="1:4" x14ac:dyDescent="0.25">
      <c r="A45" s="42" t="s">
        <v>42</v>
      </c>
      <c r="B45" s="26">
        <v>6876529.0999999996</v>
      </c>
    </row>
    <row r="46" spans="1:4" x14ac:dyDescent="0.25">
      <c r="A46" s="42" t="s">
        <v>18</v>
      </c>
      <c r="B46" s="26">
        <v>805447.14</v>
      </c>
    </row>
    <row r="47" spans="1:4" x14ac:dyDescent="0.25">
      <c r="A47" s="42" t="s">
        <v>43</v>
      </c>
      <c r="B47" s="26">
        <v>167385</v>
      </c>
    </row>
    <row r="48" spans="1:4" x14ac:dyDescent="0.25">
      <c r="A48" s="42" t="s">
        <v>44</v>
      </c>
      <c r="B48" s="26">
        <v>83484.63</v>
      </c>
    </row>
    <row r="49" spans="1:4" x14ac:dyDescent="0.25">
      <c r="A49" s="42" t="s">
        <v>45</v>
      </c>
      <c r="B49" s="26">
        <v>49461.27</v>
      </c>
    </row>
    <row r="50" spans="1:4" x14ac:dyDescent="0.25">
      <c r="A50" s="42" t="s">
        <v>46</v>
      </c>
      <c r="B50" s="26">
        <v>25972.73</v>
      </c>
    </row>
    <row r="51" spans="1:4" x14ac:dyDescent="0.25">
      <c r="A51" s="43" t="s">
        <v>47</v>
      </c>
      <c r="B51" s="35">
        <v>8008279.8700000001</v>
      </c>
    </row>
    <row r="54" spans="1:4" ht="15.75" x14ac:dyDescent="0.25">
      <c r="A54" s="61" t="s">
        <v>48</v>
      </c>
      <c r="B54" s="57"/>
      <c r="C54" s="57"/>
      <c r="D54" s="57"/>
    </row>
    <row r="55" spans="1:4" x14ac:dyDescent="0.25">
      <c r="A55" s="43" t="s">
        <v>49</v>
      </c>
      <c r="B55" s="10" t="s">
        <v>50</v>
      </c>
    </row>
    <row r="56" spans="1:4" x14ac:dyDescent="0.25">
      <c r="A56" s="46" t="s">
        <v>81</v>
      </c>
      <c r="B56" s="5"/>
    </row>
    <row r="57" spans="1:4" x14ac:dyDescent="0.25">
      <c r="A57" s="42" t="s">
        <v>33</v>
      </c>
      <c r="B57" s="7">
        <v>1467774</v>
      </c>
    </row>
    <row r="58" spans="1:4" x14ac:dyDescent="0.25">
      <c r="A58" s="42" t="s">
        <v>36</v>
      </c>
      <c r="B58" s="7">
        <v>1404424</v>
      </c>
    </row>
    <row r="59" spans="1:4" s="53" customFormat="1" x14ac:dyDescent="0.25">
      <c r="A59" s="42" t="s">
        <v>108</v>
      </c>
      <c r="B59" s="7">
        <v>0</v>
      </c>
    </row>
    <row r="60" spans="1:4" s="30" customFormat="1" x14ac:dyDescent="0.25">
      <c r="A60" s="42" t="s">
        <v>98</v>
      </c>
      <c r="B60" s="7">
        <v>-3400000</v>
      </c>
    </row>
    <row r="61" spans="1:4" x14ac:dyDescent="0.25">
      <c r="A61" s="42" t="s">
        <v>94</v>
      </c>
      <c r="B61" s="7">
        <v>-59362</v>
      </c>
    </row>
    <row r="62" spans="1:4" x14ac:dyDescent="0.25">
      <c r="A62" s="42" t="s">
        <v>37</v>
      </c>
      <c r="B62" s="7">
        <v>0</v>
      </c>
    </row>
    <row r="63" spans="1:4" x14ac:dyDescent="0.25">
      <c r="A63" s="47" t="s">
        <v>82</v>
      </c>
      <c r="B63" s="8"/>
    </row>
    <row r="64" spans="1:4" x14ac:dyDescent="0.25">
      <c r="A64" s="42" t="s">
        <v>52</v>
      </c>
      <c r="B64" s="7">
        <v>75185</v>
      </c>
    </row>
    <row r="65" spans="1:4" x14ac:dyDescent="0.25">
      <c r="A65" s="42" t="s">
        <v>32</v>
      </c>
      <c r="B65" s="7">
        <v>27900.5</v>
      </c>
    </row>
    <row r="66" spans="1:4" x14ac:dyDescent="0.25">
      <c r="A66" s="42" t="s">
        <v>35</v>
      </c>
      <c r="B66" s="7">
        <v>-13086.2</v>
      </c>
    </row>
    <row r="67" spans="1:4" x14ac:dyDescent="0.25">
      <c r="A67" s="42" t="s">
        <v>31</v>
      </c>
      <c r="B67" s="7">
        <v>-57176</v>
      </c>
      <c r="C67" s="31"/>
    </row>
    <row r="68" spans="1:4" x14ac:dyDescent="0.25">
      <c r="A68" s="42"/>
      <c r="B68" s="7"/>
    </row>
    <row r="69" spans="1:4" x14ac:dyDescent="0.25">
      <c r="A69" s="47" t="s">
        <v>87</v>
      </c>
      <c r="B69" s="8"/>
    </row>
    <row r="70" spans="1:4" x14ac:dyDescent="0.25">
      <c r="A70" s="48" t="s">
        <v>88</v>
      </c>
      <c r="B70" s="7">
        <v>859362.48</v>
      </c>
      <c r="D70" s="14"/>
    </row>
    <row r="71" spans="1:4" x14ac:dyDescent="0.25">
      <c r="A71" s="48" t="s">
        <v>89</v>
      </c>
      <c r="B71" s="7">
        <v>1143774</v>
      </c>
    </row>
    <row r="72" spans="1:4" x14ac:dyDescent="0.25">
      <c r="A72" s="42" t="s">
        <v>51</v>
      </c>
      <c r="B72" s="7">
        <v>383784.31</v>
      </c>
    </row>
    <row r="73" spans="1:4" x14ac:dyDescent="0.25">
      <c r="A73" s="47" t="s">
        <v>84</v>
      </c>
      <c r="B73" s="8" t="s">
        <v>110</v>
      </c>
    </row>
    <row r="74" spans="1:4" x14ac:dyDescent="0.25">
      <c r="A74" s="42" t="s">
        <v>53</v>
      </c>
      <c r="B74" s="7">
        <v>-25565</v>
      </c>
    </row>
    <row r="75" spans="1:4" x14ac:dyDescent="0.25">
      <c r="A75" s="42" t="s">
        <v>54</v>
      </c>
      <c r="B75" s="7">
        <v>1944.74</v>
      </c>
    </row>
    <row r="76" spans="1:4" x14ac:dyDescent="0.25">
      <c r="A76" s="42" t="s">
        <v>55</v>
      </c>
      <c r="B76" s="7">
        <v>13421</v>
      </c>
    </row>
    <row r="77" spans="1:4" x14ac:dyDescent="0.25">
      <c r="A77" s="42" t="s">
        <v>56</v>
      </c>
      <c r="B77" s="7">
        <v>29437</v>
      </c>
    </row>
    <row r="78" spans="1:4" x14ac:dyDescent="0.25">
      <c r="A78" s="42" t="s">
        <v>57</v>
      </c>
      <c r="B78" s="7">
        <v>32074.22</v>
      </c>
    </row>
    <row r="79" spans="1:4" x14ac:dyDescent="0.25">
      <c r="A79" s="42" t="s">
        <v>90</v>
      </c>
      <c r="B79" s="7">
        <f>22032</f>
        <v>22032</v>
      </c>
    </row>
    <row r="80" spans="1:4" x14ac:dyDescent="0.25">
      <c r="A80" s="47" t="s">
        <v>83</v>
      </c>
      <c r="B80" s="9">
        <v>3039114.23</v>
      </c>
      <c r="D80" s="31"/>
    </row>
    <row r="81" spans="1:4" x14ac:dyDescent="0.25">
      <c r="A81" s="43" t="s">
        <v>58</v>
      </c>
      <c r="B81" s="11">
        <f>SUM(B57:B80)</f>
        <v>4945038.28</v>
      </c>
    </row>
    <row r="84" spans="1:4" ht="15.75" x14ac:dyDescent="0.25">
      <c r="A84" s="65" t="s">
        <v>59</v>
      </c>
      <c r="B84" s="58"/>
      <c r="C84" s="58"/>
      <c r="D84" s="58"/>
    </row>
    <row r="85" spans="1:4" x14ac:dyDescent="0.25">
      <c r="A85" s="43" t="s">
        <v>60</v>
      </c>
      <c r="B85" s="36" t="s">
        <v>61</v>
      </c>
    </row>
    <row r="86" spans="1:4" x14ac:dyDescent="0.25">
      <c r="A86" s="42" t="s">
        <v>62</v>
      </c>
      <c r="B86" s="37">
        <v>-5797846.8099999996</v>
      </c>
      <c r="C86" s="28"/>
    </row>
    <row r="87" spans="1:4" x14ac:dyDescent="0.25">
      <c r="A87" s="42" t="s">
        <v>63</v>
      </c>
      <c r="B87" s="38">
        <v>-38390.639999999999</v>
      </c>
    </row>
    <row r="88" spans="1:4" x14ac:dyDescent="0.25">
      <c r="A88" s="43" t="s">
        <v>64</v>
      </c>
      <c r="B88" s="39">
        <f>SUM(B86:B87)</f>
        <v>-5836237.4499999993</v>
      </c>
    </row>
    <row r="89" spans="1:4" s="18" customFormat="1" x14ac:dyDescent="0.25">
      <c r="A89" s="49"/>
      <c r="B89" s="22"/>
    </row>
    <row r="90" spans="1:4" s="18" customFormat="1" x14ac:dyDescent="0.25">
      <c r="A90" s="49"/>
      <c r="B90" s="22"/>
    </row>
    <row r="91" spans="1:4" s="18" customFormat="1" x14ac:dyDescent="0.25">
      <c r="A91" s="55" t="s">
        <v>70</v>
      </c>
      <c r="B91" s="55"/>
      <c r="C91" s="55"/>
      <c r="D91" s="55"/>
    </row>
    <row r="92" spans="1:4" s="18" customFormat="1" x14ac:dyDescent="0.25">
      <c r="A92" s="43" t="s">
        <v>71</v>
      </c>
      <c r="B92" s="10" t="s">
        <v>29</v>
      </c>
    </row>
    <row r="93" spans="1:4" s="18" customFormat="1" x14ac:dyDescent="0.25">
      <c r="A93" s="42" t="s">
        <v>72</v>
      </c>
      <c r="B93" s="7">
        <v>0</v>
      </c>
    </row>
    <row r="94" spans="1:4" s="18" customFormat="1" x14ac:dyDescent="0.25">
      <c r="A94" s="42" t="s">
        <v>104</v>
      </c>
      <c r="B94" s="7">
        <v>0</v>
      </c>
    </row>
    <row r="95" spans="1:4" s="18" customFormat="1" x14ac:dyDescent="0.25">
      <c r="A95" s="42" t="s">
        <v>96</v>
      </c>
      <c r="B95" s="7">
        <v>0</v>
      </c>
    </row>
    <row r="96" spans="1:4" s="18" customFormat="1" x14ac:dyDescent="0.25">
      <c r="A96" s="42" t="s">
        <v>106</v>
      </c>
      <c r="B96" s="7">
        <v>1700</v>
      </c>
    </row>
    <row r="97" spans="1:4" s="18" customFormat="1" x14ac:dyDescent="0.25">
      <c r="A97" s="42" t="s">
        <v>109</v>
      </c>
      <c r="B97" s="7">
        <v>0</v>
      </c>
    </row>
    <row r="98" spans="1:4" s="18" customFormat="1" x14ac:dyDescent="0.25">
      <c r="A98" s="42" t="s">
        <v>99</v>
      </c>
      <c r="B98" s="7">
        <v>0</v>
      </c>
    </row>
    <row r="99" spans="1:4" s="18" customFormat="1" x14ac:dyDescent="0.25">
      <c r="A99" s="42" t="s">
        <v>107</v>
      </c>
      <c r="B99" s="7">
        <v>0</v>
      </c>
    </row>
    <row r="100" spans="1:4" s="18" customFormat="1" x14ac:dyDescent="0.25">
      <c r="A100" s="42" t="s">
        <v>100</v>
      </c>
      <c r="B100" s="7">
        <v>0</v>
      </c>
    </row>
    <row r="101" spans="1:4" s="18" customFormat="1" x14ac:dyDescent="0.25">
      <c r="A101" s="42" t="s">
        <v>111</v>
      </c>
      <c r="B101" s="7">
        <v>0</v>
      </c>
    </row>
    <row r="102" spans="1:4" s="18" customFormat="1" x14ac:dyDescent="0.25">
      <c r="A102" s="42" t="s">
        <v>105</v>
      </c>
      <c r="B102" s="7">
        <v>0</v>
      </c>
    </row>
    <row r="103" spans="1:4" s="24" customFormat="1" x14ac:dyDescent="0.25">
      <c r="A103" s="42" t="s">
        <v>103</v>
      </c>
      <c r="B103" s="7">
        <v>16500</v>
      </c>
    </row>
    <row r="104" spans="1:4" s="24" customFormat="1" x14ac:dyDescent="0.25">
      <c r="A104" s="42"/>
      <c r="B104" s="7">
        <v>0</v>
      </c>
    </row>
    <row r="105" spans="1:4" s="18" customFormat="1" x14ac:dyDescent="0.25">
      <c r="A105" s="43" t="s">
        <v>73</v>
      </c>
      <c r="B105" s="7">
        <v>18200</v>
      </c>
    </row>
    <row r="106" spans="1:4" s="18" customFormat="1" x14ac:dyDescent="0.25">
      <c r="A106" s="50"/>
    </row>
    <row r="107" spans="1:4" s="18" customFormat="1" x14ac:dyDescent="0.25">
      <c r="A107" s="50"/>
    </row>
    <row r="109" spans="1:4" ht="15.75" x14ac:dyDescent="0.25">
      <c r="A109" s="60" t="s">
        <v>65</v>
      </c>
      <c r="B109" s="58"/>
      <c r="C109" s="58"/>
      <c r="D109" s="58"/>
    </row>
    <row r="110" spans="1:4" x14ac:dyDescent="0.25">
      <c r="A110" s="42" t="s">
        <v>101</v>
      </c>
      <c r="B110" s="11">
        <v>465068.25</v>
      </c>
      <c r="D110" s="1">
        <v>0</v>
      </c>
    </row>
    <row r="111" spans="1:4" x14ac:dyDescent="0.25">
      <c r="A111" s="42" t="s">
        <v>66</v>
      </c>
      <c r="B111" s="7">
        <f>B26</f>
        <v>35689.253999999957</v>
      </c>
    </row>
    <row r="112" spans="1:4" x14ac:dyDescent="0.25">
      <c r="A112" s="42" t="s">
        <v>91</v>
      </c>
      <c r="B112" s="21">
        <v>0</v>
      </c>
    </row>
    <row r="113" spans="1:4" x14ac:dyDescent="0.25">
      <c r="A113" s="42" t="s">
        <v>67</v>
      </c>
      <c r="B113" s="26">
        <v>18200</v>
      </c>
    </row>
    <row r="114" spans="1:4" x14ac:dyDescent="0.25">
      <c r="A114" s="42" t="s">
        <v>68</v>
      </c>
      <c r="B114" s="7">
        <v>0</v>
      </c>
    </row>
    <row r="115" spans="1:4" x14ac:dyDescent="0.25">
      <c r="A115" s="43" t="s">
        <v>69</v>
      </c>
      <c r="B115" s="11">
        <f>(B110+B111)-B113</f>
        <v>482557.50399999996</v>
      </c>
    </row>
    <row r="116" spans="1:4" x14ac:dyDescent="0.25">
      <c r="A116" s="51"/>
      <c r="B116" s="20"/>
      <c r="C116" s="19"/>
      <c r="D116" s="19"/>
    </row>
    <row r="117" spans="1:4" x14ac:dyDescent="0.25">
      <c r="A117" s="51"/>
      <c r="B117" s="20"/>
      <c r="C117" s="19"/>
      <c r="D117" s="19"/>
    </row>
    <row r="118" spans="1:4" ht="15.75" x14ac:dyDescent="0.25">
      <c r="A118" s="54" t="s">
        <v>74</v>
      </c>
      <c r="B118" s="54"/>
      <c r="C118" s="54"/>
      <c r="D118" s="54"/>
    </row>
    <row r="119" spans="1:4" x14ac:dyDescent="0.25">
      <c r="A119" s="43" t="s">
        <v>75</v>
      </c>
      <c r="B119" s="11">
        <f>SUM(B120:B122)</f>
        <v>13435875.654000001</v>
      </c>
    </row>
    <row r="120" spans="1:4" x14ac:dyDescent="0.25">
      <c r="A120" s="42" t="s">
        <v>76</v>
      </c>
      <c r="B120" s="7">
        <f>B51</f>
        <v>8008279.8700000001</v>
      </c>
    </row>
    <row r="121" spans="1:4" x14ac:dyDescent="0.25">
      <c r="A121" s="42" t="s">
        <v>77</v>
      </c>
      <c r="B121" s="7">
        <f>B81</f>
        <v>4945038.28</v>
      </c>
    </row>
    <row r="122" spans="1:4" x14ac:dyDescent="0.25">
      <c r="A122" s="42" t="s">
        <v>78</v>
      </c>
      <c r="B122" s="7">
        <f>B115</f>
        <v>482557.50399999996</v>
      </c>
    </row>
    <row r="123" spans="1:4" x14ac:dyDescent="0.25">
      <c r="A123" s="43" t="s">
        <v>79</v>
      </c>
      <c r="B123" s="11">
        <f>B88</f>
        <v>-5836237.4499999993</v>
      </c>
    </row>
    <row r="124" spans="1:4" ht="15.75" x14ac:dyDescent="0.25">
      <c r="A124" s="52" t="s">
        <v>80</v>
      </c>
      <c r="B124" s="33">
        <f>B119+B123</f>
        <v>7599638.2040000018</v>
      </c>
      <c r="C124" s="31"/>
    </row>
    <row r="126" spans="1:4" s="16" customFormat="1" x14ac:dyDescent="0.25">
      <c r="A126" s="50"/>
      <c r="B126" s="1"/>
      <c r="C126" s="1"/>
      <c r="D126" s="1"/>
    </row>
    <row r="127" spans="1:4" s="16" customFormat="1" x14ac:dyDescent="0.25">
      <c r="A127" s="50"/>
      <c r="B127" s="1"/>
      <c r="C127" s="1"/>
      <c r="D127" s="1"/>
    </row>
    <row r="128" spans="1:4" s="16" customFormat="1" x14ac:dyDescent="0.25">
      <c r="A128" s="50"/>
      <c r="B128" s="1"/>
      <c r="C128" s="1"/>
      <c r="D128" s="1"/>
    </row>
    <row r="129" spans="1:4" s="16" customFormat="1" x14ac:dyDescent="0.25">
      <c r="A129" s="50"/>
      <c r="B129" s="1"/>
      <c r="C129" s="1"/>
      <c r="D129" s="1"/>
    </row>
    <row r="130" spans="1:4" s="17" customFormat="1" x14ac:dyDescent="0.25">
      <c r="A130" s="50"/>
      <c r="B130" s="1"/>
      <c r="C130" s="1"/>
      <c r="D130" s="1"/>
    </row>
  </sheetData>
  <mergeCells count="12">
    <mergeCell ref="A118:D118"/>
    <mergeCell ref="A91:D91"/>
    <mergeCell ref="A1:H1"/>
    <mergeCell ref="A24:D24"/>
    <mergeCell ref="A19:D19"/>
    <mergeCell ref="A109:D109"/>
    <mergeCell ref="A12:D12"/>
    <mergeCell ref="A2:H2"/>
    <mergeCell ref="A54:D54"/>
    <mergeCell ref="A43:D43"/>
    <mergeCell ref="A5:H5"/>
    <mergeCell ref="A84:D84"/>
  </mergeCells>
  <pageMargins left="0.75" right="0.75" top="1" bottom="1" header="0.5" footer="0.5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Station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2026-02-14T09:02:42Z</cp:lastPrinted>
  <dcterms:created xsi:type="dcterms:W3CDTF">2026-02-14T08:48:15Z</dcterms:created>
  <dcterms:modified xsi:type="dcterms:W3CDTF">2026-08-31T16:45:49Z</dcterms:modified>
</cp:coreProperties>
</file>